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D:\Learning\Python\IPO Analysis using Excel\Output\"/>
    </mc:Choice>
  </mc:AlternateContent>
  <xr:revisionPtr revIDLastSave="0" documentId="13_ncr:1_{B0DEC3CE-B297-4BEF-B3EE-4F35AB734CAA}" xr6:coauthVersionLast="47" xr6:coauthVersionMax="47" xr10:uidLastSave="{00000000-0000-0000-0000-000000000000}"/>
  <bookViews>
    <workbookView xWindow="-108" yWindow="-108" windowWidth="23256" windowHeight="12576" xr2:uid="{00000000-000D-0000-FFFF-FFFF00000000}"/>
  </bookViews>
  <sheets>
    <sheet name="Analysis" sheetId="4" r:id="rId1"/>
    <sheet name="Data" sheetId="2" r:id="rId2"/>
  </sheets>
  <definedNames>
    <definedName name="_xlnm._FilterDatabase" localSheetId="1" hidden="1">Data!$A$1:$AS$194</definedName>
    <definedName name="Slicer_Year_of_Listing">#N/A</definedName>
  </definedNames>
  <calcPr calcId="191029"/>
  <pivotCaches>
    <pivotCache cacheId="1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O3" i="4" l="1"/>
  <c r="O4" i="4"/>
  <c r="O5" i="4"/>
  <c r="O6" i="4"/>
  <c r="O7" i="4"/>
  <c r="O8" i="4"/>
  <c r="O9" i="4"/>
  <c r="O10" i="4"/>
  <c r="O11" i="4"/>
  <c r="O12" i="4"/>
  <c r="O2" i="4"/>
</calcChain>
</file>

<file path=xl/sharedStrings.xml><?xml version="1.0" encoding="utf-8"?>
<sst xmlns="http://schemas.openxmlformats.org/spreadsheetml/2006/main" count="497" uniqueCount="458">
  <si>
    <t>Year of Listing</t>
  </si>
  <si>
    <t>Month of Listing</t>
  </si>
  <si>
    <t>Row Labels</t>
  </si>
  <si>
    <t>Aadhar Housing Finance Limited</t>
  </si>
  <si>
    <t>Akums Drugs and Pharmaceuticals Limited</t>
  </si>
  <si>
    <t>Allied Blenders and Distillers Limited</t>
  </si>
  <si>
    <t>Apeejay Surrendra Park Hotels Limited</t>
  </si>
  <si>
    <t>Arkade Developers Limited</t>
  </si>
  <si>
    <t>Awfis Space Solutions Limited</t>
  </si>
  <si>
    <t>Baazar Style Retail Limited</t>
  </si>
  <si>
    <t>Bajaj Housing Finance Limited</t>
  </si>
  <si>
    <t>Bansal Wire Industries Limited</t>
  </si>
  <si>
    <t>Bharti Hexacom Limited</t>
  </si>
  <si>
    <t>BLS E- Services Limited</t>
  </si>
  <si>
    <t>Brainbees Solutions Limited</t>
  </si>
  <si>
    <t>Capital Small Finance Bank Limited</t>
  </si>
  <si>
    <t>Ceigall India Limited</t>
  </si>
  <si>
    <t>DEE Development Engineers Limited</t>
  </si>
  <si>
    <t>Ecos (India) Mobility &amp; Hospitality Limited</t>
  </si>
  <si>
    <t>Emcure Pharmaceuticals Limited</t>
  </si>
  <si>
    <t>Entero Healthcare Solutions Limited</t>
  </si>
  <si>
    <t>EPACK Durable Limited</t>
  </si>
  <si>
    <t>Exicom Telesystems Limited</t>
  </si>
  <si>
    <t>Go Digit General Insurance Limited</t>
  </si>
  <si>
    <t>Gopal Snacks Limited</t>
  </si>
  <si>
    <t>GPT Healthcare Limited</t>
  </si>
  <si>
    <t>Indegene Limited</t>
  </si>
  <si>
    <t>Interarch Building Products Limited</t>
  </si>
  <si>
    <t>J G Chemicals Limited</t>
  </si>
  <si>
    <t>Jana Small Finance Bank Limited</t>
  </si>
  <si>
    <t>JNK India Limited</t>
  </si>
  <si>
    <t>Juniper Hotels Limited</t>
  </si>
  <si>
    <t>Jyoti CNC Automation Limited</t>
  </si>
  <si>
    <t>Kronox Lab SciencesLimited</t>
  </si>
  <si>
    <t>Kross Limited</t>
  </si>
  <si>
    <t>Krystal Integrated Services Limited</t>
  </si>
  <si>
    <t>Le Travenues Technology Limited</t>
  </si>
  <si>
    <t>Medi Assist Healthcare Services Limited</t>
  </si>
  <si>
    <t>Northern Arc Capital Limited</t>
  </si>
  <si>
    <t>Ola Electric Mobility Limited</t>
  </si>
  <si>
    <t>P N Gadgil Jewellers Limited</t>
  </si>
  <si>
    <t>Popular Vehicles and Services Limited</t>
  </si>
  <si>
    <t>Premier Energies Limited</t>
  </si>
  <si>
    <t>R K Swamy Limited</t>
  </si>
  <si>
    <t>Rashi Peripherals Limited</t>
  </si>
  <si>
    <t>Sanstar Limited</t>
  </si>
  <si>
    <t>Stanley Lifestyles Limited</t>
  </si>
  <si>
    <t>TBO Tek Limited</t>
  </si>
  <si>
    <t>Unicommerce eSolutions Limited</t>
  </si>
  <si>
    <t>Western Carriers (India) Limited</t>
  </si>
  <si>
    <t>Grand Total</t>
  </si>
  <si>
    <t>COMPANY NAME</t>
  </si>
  <si>
    <t>Symbol</t>
  </si>
  <si>
    <t>ISSUE PRICE</t>
  </si>
  <si>
    <t>DATE OF LISTING</t>
  </si>
  <si>
    <t>Listing Price</t>
  </si>
  <si>
    <t>HIGHEST_PRICE</t>
  </si>
  <si>
    <t>HIGHEST_PRICE DATE</t>
  </si>
  <si>
    <t>LOWEST_PRICE</t>
  </si>
  <si>
    <t>LOWEST_PRICE DATE</t>
  </si>
  <si>
    <t>DAY1_HIGHEST</t>
  </si>
  <si>
    <t>DAY2_HIGHEST</t>
  </si>
  <si>
    <t>DAY3_HIGHEST</t>
  </si>
  <si>
    <t>Days to 10% of Issue Price</t>
  </si>
  <si>
    <t>Date - 10% of Issue Price</t>
  </si>
  <si>
    <t>High Price - 10% of Issue Price</t>
  </si>
  <si>
    <t>Days to 20% of Issue Price</t>
  </si>
  <si>
    <t>Date - 20% of Issue Price</t>
  </si>
  <si>
    <t>High Price - 20% of Issue Price</t>
  </si>
  <si>
    <t>Days to 30% of Issue Price</t>
  </si>
  <si>
    <t>Date - 30% of Issue Price</t>
  </si>
  <si>
    <t>High Price - 30% of Issue Price</t>
  </si>
  <si>
    <t>Days to 40% of Issue Price</t>
  </si>
  <si>
    <t>Date - 40% of Issue Price</t>
  </si>
  <si>
    <t>High Price - 40% of Issue Price</t>
  </si>
  <si>
    <t>Days to 50% of Issue Price</t>
  </si>
  <si>
    <t>Date - 50% of Issue Price</t>
  </si>
  <si>
    <t>High Price - 50% of Issue Price</t>
  </si>
  <si>
    <t>Days to 60% of Issue Price</t>
  </si>
  <si>
    <t>Date - 60% of Issue Price</t>
  </si>
  <si>
    <t>High Price - 60% of Issue Price</t>
  </si>
  <si>
    <t>Days to 70% of Issue Price</t>
  </si>
  <si>
    <t>Date - 70% of Issue Price</t>
  </si>
  <si>
    <t>High Price - 70% of Issue Price</t>
  </si>
  <si>
    <t>Days to 80% of Issue Price</t>
  </si>
  <si>
    <t>Date - 80% of Issue Price</t>
  </si>
  <si>
    <t>High Price - 80% of Issue Price</t>
  </si>
  <si>
    <t>Days to 90% of Issue Price</t>
  </si>
  <si>
    <t>Date - 90% of Issue Price</t>
  </si>
  <si>
    <t>High Price - 90% of Issue Price</t>
  </si>
  <si>
    <t>Days to 100% of Issue Price</t>
  </si>
  <si>
    <t>Date - 100% of Issue Price</t>
  </si>
  <si>
    <t>High Price - 100% of Issue Price</t>
  </si>
  <si>
    <t>Comment</t>
  </si>
  <si>
    <t>ARKADE</t>
  </si>
  <si>
    <t>Company not found in Data</t>
  </si>
  <si>
    <t>NORTHARC</t>
  </si>
  <si>
    <t>WCIL</t>
  </si>
  <si>
    <t>PNGJL</t>
  </si>
  <si>
    <t>BAJAJHFL</t>
  </si>
  <si>
    <t>KROSS</t>
  </si>
  <si>
    <t>STYLEBAAZA</t>
  </si>
  <si>
    <t>ECOSMOBLTY</t>
  </si>
  <si>
    <t>PREMIERENE</t>
  </si>
  <si>
    <t>INTERARCH</t>
  </si>
  <si>
    <t>UNIECOM</t>
  </si>
  <si>
    <t>FIRSTCRY</t>
  </si>
  <si>
    <t>OLAELEC</t>
  </si>
  <si>
    <t>CEIGALL</t>
  </si>
  <si>
    <t>AKUMS</t>
  </si>
  <si>
    <t>SANSTAR</t>
  </si>
  <si>
    <t>EMCURE</t>
  </si>
  <si>
    <t>BANSALWIRE</t>
  </si>
  <si>
    <t>ABDL</t>
  </si>
  <si>
    <t>STANLEY</t>
  </si>
  <si>
    <t>DEEDEV</t>
  </si>
  <si>
    <t>IXIGO</t>
  </si>
  <si>
    <t>KRONOX</t>
  </si>
  <si>
    <t>DATE OF LIST mis-match</t>
  </si>
  <si>
    <t>AWFIS</t>
  </si>
  <si>
    <t>GODIGIT</t>
  </si>
  <si>
    <t>AADHARHFC</t>
  </si>
  <si>
    <t>TBOTEK</t>
  </si>
  <si>
    <t>INDGN</t>
  </si>
  <si>
    <t>JNKINDIA</t>
  </si>
  <si>
    <t>BHARTIHEXA</t>
  </si>
  <si>
    <t>KRYSTAL</t>
  </si>
  <si>
    <t>PVSL</t>
  </si>
  <si>
    <t>GOPAL</t>
  </si>
  <si>
    <t>JGCHEM</t>
  </si>
  <si>
    <t>RKSWAMY</t>
  </si>
  <si>
    <t>EXICOM</t>
  </si>
  <si>
    <t>GPTHEALTH</t>
  </si>
  <si>
    <t>JUNIPER</t>
  </si>
  <si>
    <t>ENTERO</t>
  </si>
  <si>
    <t>CAPITALSFB</t>
  </si>
  <si>
    <t>JSFB</t>
  </si>
  <si>
    <t>RPTECH</t>
  </si>
  <si>
    <t>PARKHOTELS</t>
  </si>
  <si>
    <t>BLSE</t>
  </si>
  <si>
    <t>EPACK</t>
  </si>
  <si>
    <t>MEDIASSIST</t>
  </si>
  <si>
    <t>JYOTICNC</t>
  </si>
  <si>
    <t>Innova Captab Limited</t>
  </si>
  <si>
    <t>INNOVACAP</t>
  </si>
  <si>
    <t>Azad Engineering Limited</t>
  </si>
  <si>
    <t>AZAD</t>
  </si>
  <si>
    <t>Happy Forging Limited</t>
  </si>
  <si>
    <t>HAPPYFORGE</t>
  </si>
  <si>
    <t>Credo Brands Marketing Limited</t>
  </si>
  <si>
    <t>MUFTI</t>
  </si>
  <si>
    <t>Muthoot Microfin Limited</t>
  </si>
  <si>
    <t>MUTHOOTMF</t>
  </si>
  <si>
    <t>Suraj Estate Developers Limited</t>
  </si>
  <si>
    <t>SURAJEST</t>
  </si>
  <si>
    <t>INOX India Limited</t>
  </si>
  <si>
    <t>INOXINDIA</t>
  </si>
  <si>
    <t>DOMS Industries Limited</t>
  </si>
  <si>
    <t>DOMS</t>
  </si>
  <si>
    <t>India Shelter Finance Corporation Limited</t>
  </si>
  <si>
    <t>INDIASHLTR</t>
  </si>
  <si>
    <t>Flair Writing Industries Limited</t>
  </si>
  <si>
    <t>FLAIR</t>
  </si>
  <si>
    <t>Tata Technologies Limited</t>
  </si>
  <si>
    <t>TATATECH</t>
  </si>
  <si>
    <t>Gandhar Oil Refinery (India) Limited</t>
  </si>
  <si>
    <t>GANDHAR</t>
  </si>
  <si>
    <t>Fedbank Financial Services Limited</t>
  </si>
  <si>
    <t>FEDFINA</t>
  </si>
  <si>
    <t>ASK Automotive Limited</t>
  </si>
  <si>
    <t>ASKAUTOLTD</t>
  </si>
  <si>
    <t>ESAF Small Finance Bank Limited</t>
  </si>
  <si>
    <t>ESAFSFB</t>
  </si>
  <si>
    <t>Honasa Consumer Limited</t>
  </si>
  <si>
    <t>HONASA</t>
  </si>
  <si>
    <t>Cello World Limited</t>
  </si>
  <si>
    <t>CELLO</t>
  </si>
  <si>
    <t>Blue Jet Healthcare Limited</t>
  </si>
  <si>
    <t>BLUEJET</t>
  </si>
  <si>
    <t>IRM ENERGY LIMITED</t>
  </si>
  <si>
    <t>IRMENERGY</t>
  </si>
  <si>
    <t>Updater Services Limited</t>
  </si>
  <si>
    <t>UDS</t>
  </si>
  <si>
    <t>JSW Infrastructure Limited</t>
  </si>
  <si>
    <t>JSWINFRA</t>
  </si>
  <si>
    <t>Manoj Vaibhav Gems N Jewellers Limited</t>
  </si>
  <si>
    <t>MVGJL</t>
  </si>
  <si>
    <t>Signatureglobal (India) Limited</t>
  </si>
  <si>
    <t>SIGNATURE</t>
  </si>
  <si>
    <t>Sai Silks (Kalamandir) Limited</t>
  </si>
  <si>
    <t>KALAMANDIR</t>
  </si>
  <si>
    <t>Yatra Online Limited</t>
  </si>
  <si>
    <t>YATRA</t>
  </si>
  <si>
    <t>Zaggle Prepaid Ocean Services Limited</t>
  </si>
  <si>
    <t>ZAGGLE</t>
  </si>
  <si>
    <t>SAMHI Hotels Limited</t>
  </si>
  <si>
    <t>SAMHI</t>
  </si>
  <si>
    <t>R R Kabel Limited</t>
  </si>
  <si>
    <t>RRKABEL</t>
  </si>
  <si>
    <t>EMS Limited</t>
  </si>
  <si>
    <t>EMSLIMITED</t>
  </si>
  <si>
    <t>Jupiter Life Line Hospitals Limited</t>
  </si>
  <si>
    <t>JLHL</t>
  </si>
  <si>
    <t>Rishabh Instruments Limited</t>
  </si>
  <si>
    <t>RISHABH</t>
  </si>
  <si>
    <t>Vishnu Prakash R Punglia Limited</t>
  </si>
  <si>
    <t>VPRPL</t>
  </si>
  <si>
    <t>Aeroflex Industries Limited</t>
  </si>
  <si>
    <t>AEROFLEX</t>
  </si>
  <si>
    <t>TVS Supply Chain Solutions Limited</t>
  </si>
  <si>
    <t>TVSSCS</t>
  </si>
  <si>
    <t>Concord Biotech Limited</t>
  </si>
  <si>
    <t>CONCORDBIO</t>
  </si>
  <si>
    <t>SBFC Finance Limited</t>
  </si>
  <si>
    <t>SBFC</t>
  </si>
  <si>
    <t>Yatharth Hospital and Trauma Care Services Limited</t>
  </si>
  <si>
    <t>YATHARTH</t>
  </si>
  <si>
    <t>Netweb Technologies India Limited</t>
  </si>
  <si>
    <t>NETWEB</t>
  </si>
  <si>
    <t>Utkarsh Small Finance Bank Limited</t>
  </si>
  <si>
    <t>UTKARSHBNK</t>
  </si>
  <si>
    <t>Senco Gold Limited</t>
  </si>
  <si>
    <t>SENCO</t>
  </si>
  <si>
    <t>Cyient DLM Limited</t>
  </si>
  <si>
    <t>CYIENTDLM</t>
  </si>
  <si>
    <t>Ideaforge Technology Limited</t>
  </si>
  <si>
    <t>IDEAFORGE</t>
  </si>
  <si>
    <t>HMA Agro Industries Limited</t>
  </si>
  <si>
    <t>HMAAGRO</t>
  </si>
  <si>
    <t>IKIO Lighting Limited</t>
  </si>
  <si>
    <t>IKIO</t>
  </si>
  <si>
    <t>Mankind Pharma Limited</t>
  </si>
  <si>
    <t>MANKIND</t>
  </si>
  <si>
    <t>Avalon Technologies Limited</t>
  </si>
  <si>
    <t>AVALON</t>
  </si>
  <si>
    <t>Divgi TorqTransfer Systems Limited</t>
  </si>
  <si>
    <t>DIVGIITTS</t>
  </si>
  <si>
    <t>Radiant Cash Management Services Limited</t>
  </si>
  <si>
    <t>RADIANTCMS</t>
  </si>
  <si>
    <t>Elin Electronics Limited</t>
  </si>
  <si>
    <t>ELIN</t>
  </si>
  <si>
    <t>KFin Technologies Limited</t>
  </si>
  <si>
    <t>KFINTECH</t>
  </si>
  <si>
    <t>Landmark Cars Limited</t>
  </si>
  <si>
    <t>LANDMARK</t>
  </si>
  <si>
    <t>Sula Vineyards Limited</t>
  </si>
  <si>
    <t>SULA</t>
  </si>
  <si>
    <t>Abans Holdings Limited</t>
  </si>
  <si>
    <t>AHL</t>
  </si>
  <si>
    <t>Uniparts India Limited</t>
  </si>
  <si>
    <t>UNIPARTS</t>
  </si>
  <si>
    <t>Dharmaj Crop Guard Limited</t>
  </si>
  <si>
    <t>DHARMAJ</t>
  </si>
  <si>
    <t>Keystone Realtors Limited</t>
  </si>
  <si>
    <t>RUSTOMJEE</t>
  </si>
  <si>
    <t>Inox Green Energy Services Limited</t>
  </si>
  <si>
    <t>INOXGREEN</t>
  </si>
  <si>
    <t>Kaynes Technology India Limited</t>
  </si>
  <si>
    <t>KAYNES</t>
  </si>
  <si>
    <t>Archean Chemical Industries Limited</t>
  </si>
  <si>
    <t>ACI</t>
  </si>
  <si>
    <t>Bikaji Foods International Limited</t>
  </si>
  <si>
    <t>BIKAJI</t>
  </si>
  <si>
    <t>Global Health Limited</t>
  </si>
  <si>
    <t>MEDANTA</t>
  </si>
  <si>
    <t>Fusion Micro Finance Limited</t>
  </si>
  <si>
    <t>FUSION</t>
  </si>
  <si>
    <t>Tracxn Technologies Limited</t>
  </si>
  <si>
    <t>TRACXN</t>
  </si>
  <si>
    <t>Electronics Mart India Limited</t>
  </si>
  <si>
    <t>EMIL</t>
  </si>
  <si>
    <t>Harsha Engineers International Limited</t>
  </si>
  <si>
    <t>HARSHA</t>
  </si>
  <si>
    <t>Dreamfolks Services Limited</t>
  </si>
  <si>
    <t>DREAMFOLKS</t>
  </si>
  <si>
    <t>Syrma SGS Technology Limited</t>
  </si>
  <si>
    <t>SYRMA</t>
  </si>
  <si>
    <t>Aether Industries Limited</t>
  </si>
  <si>
    <t>AETHER</t>
  </si>
  <si>
    <t>eMudhra Limited</t>
  </si>
  <si>
    <t>EMUDHRA</t>
  </si>
  <si>
    <t>ETHOS Limited</t>
  </si>
  <si>
    <t>ETHOSLTD</t>
  </si>
  <si>
    <t>Paradeep Phosphates Limited</t>
  </si>
  <si>
    <t>PARADEEP</t>
  </si>
  <si>
    <t>Delhivery Limited</t>
  </si>
  <si>
    <t>DELHIVERY</t>
  </si>
  <si>
    <t>Prudent Corporate Advisory Services Limited</t>
  </si>
  <si>
    <t>PRUDENT</t>
  </si>
  <si>
    <t>Life Insurance Corporation of India</t>
  </si>
  <si>
    <t>LICI</t>
  </si>
  <si>
    <t>Rainbow Childrens Medicare Limited</t>
  </si>
  <si>
    <t>RAINBOW</t>
  </si>
  <si>
    <t>Campus Activewear Limited</t>
  </si>
  <si>
    <t>CAMPUS</t>
  </si>
  <si>
    <t>Vedant Fashions Limited</t>
  </si>
  <si>
    <t>MANYAVAR</t>
  </si>
  <si>
    <t>Adani Wilmar Limited</t>
  </si>
  <si>
    <t>AWL</t>
  </si>
  <si>
    <t>AGS Transact Technologies Limited</t>
  </si>
  <si>
    <t>AGSTRA</t>
  </si>
  <si>
    <t>CMS Info Systems Limited</t>
  </si>
  <si>
    <t>CMSINFO</t>
  </si>
  <si>
    <t>Supriya Lifescience Limited</t>
  </si>
  <si>
    <t>SUPRIYA</t>
  </si>
  <si>
    <t>Data Patterns (India) Limited</t>
  </si>
  <si>
    <t>DATAPATTNS</t>
  </si>
  <si>
    <t>MedPlus Health Services Limited</t>
  </si>
  <si>
    <t>MEDPLUS</t>
  </si>
  <si>
    <t>Metro Brands Limited</t>
  </si>
  <si>
    <t>METROBRAND</t>
  </si>
  <si>
    <t>C.E. Info Systems Limited</t>
  </si>
  <si>
    <t>MAPMYINDIA</t>
  </si>
  <si>
    <t>Shriram Properties Limited</t>
  </si>
  <si>
    <t>SHRIRAMPPS</t>
  </si>
  <si>
    <t>RateGain Travel Technologies Limited</t>
  </si>
  <si>
    <t>RATEGAIN</t>
  </si>
  <si>
    <t>Anand Rathi Wealth Limited</t>
  </si>
  <si>
    <t>ANANDRATHI</t>
  </si>
  <si>
    <t>Tega Industries Limited</t>
  </si>
  <si>
    <t>TEGA</t>
  </si>
  <si>
    <t>Star Health and Allied Insurance Company Limited</t>
  </si>
  <si>
    <t>STARHEALTH</t>
  </si>
  <si>
    <t>Go Fashion (India) Limited</t>
  </si>
  <si>
    <t>GOCOLORS</t>
  </si>
  <si>
    <t>Tarsons Products Limited</t>
  </si>
  <si>
    <t>TARSONS</t>
  </si>
  <si>
    <t>Latent View Analytics Limited</t>
  </si>
  <si>
    <t>LATENTVIEW</t>
  </si>
  <si>
    <t>Sapphire Foods India Limited</t>
  </si>
  <si>
    <t>SAPPHIRE</t>
  </si>
  <si>
    <t>One 97 Communications Limited</t>
  </si>
  <si>
    <t>PAYTM</t>
  </si>
  <si>
    <t>PB Fintech Limited</t>
  </si>
  <si>
    <t>POLICYBZR</t>
  </si>
  <si>
    <t>FINO Payments Bank Limited</t>
  </si>
  <si>
    <t>FINOPB</t>
  </si>
  <si>
    <t>Aditya Birla Sun Life AMC Limited</t>
  </si>
  <si>
    <t>ABSLAMC</t>
  </si>
  <si>
    <t>Sansera Engineering Limited</t>
  </si>
  <si>
    <t>SANSERA</t>
  </si>
  <si>
    <t>Vijaya Diagnostic Centre Limited</t>
  </si>
  <si>
    <t>VIJAYA</t>
  </si>
  <si>
    <t>Ami Organics Limited</t>
  </si>
  <si>
    <t>AMIORG</t>
  </si>
  <si>
    <t>Chemplast Sanmar Limited</t>
  </si>
  <si>
    <t>CHEMPLASTS</t>
  </si>
  <si>
    <t>Aptus Value Housing Finance India Limited</t>
  </si>
  <si>
    <t>APTUS</t>
  </si>
  <si>
    <t>Nuvoco Vistas Corporation Limited</t>
  </si>
  <si>
    <t>NUVOCO</t>
  </si>
  <si>
    <t>CarTrade Tech Limited</t>
  </si>
  <si>
    <t>CARTRADE</t>
  </si>
  <si>
    <t>Windlas Biotech Limited</t>
  </si>
  <si>
    <t>WINDLAS</t>
  </si>
  <si>
    <t>Devyani International Limited</t>
  </si>
  <si>
    <t>DEVYANI</t>
  </si>
  <si>
    <t>Krsnaa Diagnostics Limited</t>
  </si>
  <si>
    <t>KRSNAA</t>
  </si>
  <si>
    <t>Rolex Rings Limited</t>
  </si>
  <si>
    <t>ROLEXRINGS</t>
  </si>
  <si>
    <t>Glenmark Life Sciences Limited</t>
  </si>
  <si>
    <t>GLS</t>
  </si>
  <si>
    <t>Tatva Chintan Pharma Chem Limited</t>
  </si>
  <si>
    <t>TATVA</t>
  </si>
  <si>
    <t>Zomato Limited</t>
  </si>
  <si>
    <t>ZOMATO</t>
  </si>
  <si>
    <t>G R Infraprojects Limited</t>
  </si>
  <si>
    <t>GRINFRA</t>
  </si>
  <si>
    <t>Clean Science and Technology Limited</t>
  </si>
  <si>
    <t>CLEAN</t>
  </si>
  <si>
    <t>India Pesticides Limited</t>
  </si>
  <si>
    <t>IPL</t>
  </si>
  <si>
    <t>Krishna Institute of Medical Sciences Limited</t>
  </si>
  <si>
    <t>KIMS</t>
  </si>
  <si>
    <t>Dodla Dairy Limited</t>
  </si>
  <si>
    <t>DODLA</t>
  </si>
  <si>
    <t>Shyam Metalics and Energy Limited</t>
  </si>
  <si>
    <t>SHYAMMETL</t>
  </si>
  <si>
    <t>Sona BLW Precision Forgings Limited</t>
  </si>
  <si>
    <t>SONACOMS</t>
  </si>
  <si>
    <t>Macrotech Developers Limited</t>
  </si>
  <si>
    <t>LODHA</t>
  </si>
  <si>
    <t>Nazara Technologies Limited</t>
  </si>
  <si>
    <t>NAZARA</t>
  </si>
  <si>
    <t>Suryoday Small Finance Bank Limited</t>
  </si>
  <si>
    <t>SURYODAY</t>
  </si>
  <si>
    <t>Kalyan Jewellers India Limited</t>
  </si>
  <si>
    <t>KALYANKJIL</t>
  </si>
  <si>
    <t>Craftsman Automation Limited</t>
  </si>
  <si>
    <t>CRAFTSMAN</t>
  </si>
  <si>
    <t>Laxmi Organic Industries Limited</t>
  </si>
  <si>
    <t>LXCHEM</t>
  </si>
  <si>
    <t>Easy Trip Planners Limited</t>
  </si>
  <si>
    <t>EASEMYTRIP</t>
  </si>
  <si>
    <t>MTAR Technologies Limited</t>
  </si>
  <si>
    <t>MTARTECH</t>
  </si>
  <si>
    <t>Heranba Industries Limited</t>
  </si>
  <si>
    <t>HERANBA</t>
  </si>
  <si>
    <t>RailTel Corporation of India Limited</t>
  </si>
  <si>
    <t>RAILTEL</t>
  </si>
  <si>
    <t>Stove Kraft Limited</t>
  </si>
  <si>
    <t>STOVEKRAFT</t>
  </si>
  <si>
    <t>Home First Finance Company India Limited</t>
  </si>
  <si>
    <t>HOMEFIRST</t>
  </si>
  <si>
    <t>Indigo Paints Limited</t>
  </si>
  <si>
    <t>INDIGOPNTS</t>
  </si>
  <si>
    <t>Antony Waste Handling Cell Limited</t>
  </si>
  <si>
    <t>AWHCL</t>
  </si>
  <si>
    <t>Mrs. Bectors Food Specialities Limited</t>
  </si>
  <si>
    <t>BECTORFOOD</t>
  </si>
  <si>
    <t>Burger King India Limited</t>
  </si>
  <si>
    <t>BURGERKING</t>
  </si>
  <si>
    <t>Gland Pharma Limited</t>
  </si>
  <si>
    <t>GLAND</t>
  </si>
  <si>
    <t>Equitas Small Finance Bank Limited</t>
  </si>
  <si>
    <t>EQUITASBNK</t>
  </si>
  <si>
    <t>UTI Asset Management Company Limited</t>
  </si>
  <si>
    <t>UTIAMC</t>
  </si>
  <si>
    <t>Mazagon Dock Shipbuilders Limited</t>
  </si>
  <si>
    <t>MAZDOCK</t>
  </si>
  <si>
    <t>Angel Broking Limited</t>
  </si>
  <si>
    <t>ANGELBRKG</t>
  </si>
  <si>
    <t>Chemcon Speciality Chemicals Limited</t>
  </si>
  <si>
    <t>CHEMCON</t>
  </si>
  <si>
    <t>Computer Age Management Services Limited</t>
  </si>
  <si>
    <t>CAMS</t>
  </si>
  <si>
    <t>Route Mobile Limited</t>
  </si>
  <si>
    <t>ROUTE</t>
  </si>
  <si>
    <t>Happiest Minds Technologies Limited</t>
  </si>
  <si>
    <t>HAPPSTMNDS</t>
  </si>
  <si>
    <t>Rossari Biotech Limited</t>
  </si>
  <si>
    <t>ROSSARI</t>
  </si>
  <si>
    <t>SBI Cards and Payment Services Limited</t>
  </si>
  <si>
    <t>SBICARD</t>
  </si>
  <si>
    <t>(blank)</t>
  </si>
  <si>
    <t>Count of Symbol</t>
  </si>
  <si>
    <t>Count of Days to 10% of Issue Price</t>
  </si>
  <si>
    <t>Count of Days to 20% of Issue Price</t>
  </si>
  <si>
    <t>Count of Days to 30% of Issue Price</t>
  </si>
  <si>
    <t>Count of Days to 40% of Issue Price</t>
  </si>
  <si>
    <t>Count of Days to 50% of Issue Price</t>
  </si>
  <si>
    <t>Count of Days to 60% of Issue Price</t>
  </si>
  <si>
    <t>Count of Days to 70% of Issue Price</t>
  </si>
  <si>
    <t>Count of Days to 80% of Issue Price</t>
  </si>
  <si>
    <t>Count of Days to 90% of Issue Price</t>
  </si>
  <si>
    <t>Count of Days to 100% of Issue Price</t>
  </si>
  <si>
    <t>Max 10%</t>
  </si>
  <si>
    <t>Max 20%</t>
  </si>
  <si>
    <t>Max 30%</t>
  </si>
  <si>
    <t>Max 40%</t>
  </si>
  <si>
    <t>Max 50%</t>
  </si>
  <si>
    <t>Max 60%</t>
  </si>
  <si>
    <t>Max 70%</t>
  </si>
  <si>
    <t>Max 80%</t>
  </si>
  <si>
    <t>Max 90%</t>
  </si>
  <si>
    <t>Max 100%</t>
  </si>
  <si>
    <t>Less than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</si>
</sst>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6" formatCode="0.0%"/>
  </numFmts>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0" fontId="0" fillId="0" borderId="0" xfId="0" applyNumberFormat="1"/>
    <xf numFmtId="9" fontId="0" fillId="0" borderId="0" xfId="0" applyNumberFormat="1"/>
    <xf numFmtId="166" fontId="0" fillId="0" borderId="0" xfId="1" applyNumberFormat="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15240</xdr:rowOff>
    </xdr:from>
    <xdr:to>
      <xdr:col>3</xdr:col>
      <xdr:colOff>0</xdr:colOff>
      <xdr:row>13</xdr:row>
      <xdr:rowOff>104775</xdr:rowOff>
    </xdr:to>
    <mc:AlternateContent xmlns:mc="http://schemas.openxmlformats.org/markup-compatibility/2006">
      <mc:Choice xmlns:a14="http://schemas.microsoft.com/office/drawing/2010/main" Requires="a14">
        <xdr:graphicFrame macro="">
          <xdr:nvGraphicFramePr>
            <xdr:cNvPr id="2" name="Year of Listing">
              <a:extLst>
                <a:ext uri="{FF2B5EF4-FFF2-40B4-BE49-F238E27FC236}">
                  <a16:creationId xmlns:a16="http://schemas.microsoft.com/office/drawing/2014/main" id="{B891E1F8-6C6A-FE42-BAF9-AB78D69C3BB0}"/>
                </a:ext>
              </a:extLst>
            </xdr:cNvPr>
            <xdr:cNvGraphicFramePr/>
          </xdr:nvGraphicFramePr>
          <xdr:xfrm>
            <a:off x="0" y="0"/>
            <a:ext cx="0" cy="0"/>
          </xdr:xfrm>
          <a:graphic>
            <a:graphicData uri="http://schemas.microsoft.com/office/drawing/2010/slicer">
              <sle:slicer xmlns:sle="http://schemas.microsoft.com/office/drawing/2010/slicer" name="Year of Listing"/>
            </a:graphicData>
          </a:graphic>
        </xdr:graphicFrame>
      </mc:Choice>
      <mc:Fallback>
        <xdr:sp macro="" textlink="">
          <xdr:nvSpPr>
            <xdr:cNvPr id="0" name=""/>
            <xdr:cNvSpPr>
              <a:spLocks noTextEdit="1"/>
            </xdr:cNvSpPr>
          </xdr:nvSpPr>
          <xdr:spPr>
            <a:xfrm>
              <a:off x="0" y="15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alan" refreshedDate="45563.653521643515" createdVersion="8" refreshedVersion="8" minRefreshableVersion="3" recordCount="194" xr:uid="{6582CFEB-628D-43A8-A27F-7F18C6B50E16}">
  <cacheSource type="worksheet">
    <worksheetSource ref="A1:AS1048576" sheet="Data"/>
  </cacheSource>
  <cacheFields count="45">
    <cacheField name="COMPANY NAME" numFmtId="0">
      <sharedItems containsBlank="1" count="194">
        <s v="Arkade Developers Limited"/>
        <s v="Northern Arc Capital Limited"/>
        <s v="Western Carriers (India) Limited"/>
        <s v="P N Gadgil Jewellers Limited"/>
        <s v="Bajaj Housing Finance Limited"/>
        <s v="Kross Limited"/>
        <s v="Baazar Style Retail Limited"/>
        <s v="Ecos (India) Mobility &amp; Hospitality Limited"/>
        <s v="Premier Energies Limited"/>
        <s v="Interarch Building Products Limited"/>
        <s v="Unicommerce eSolutions Limited"/>
        <s v="Brainbees Solutions Limited"/>
        <s v="Ola Electric Mobility Limited"/>
        <s v="Ceigall India Limited"/>
        <s v="Akums Drugs and Pharmaceuticals Limited"/>
        <s v="Sanstar Limited"/>
        <s v="Emcure Pharmaceuticals Limited"/>
        <s v="Bansal Wire Industries Limited"/>
        <s v="Allied Blenders and Distillers Limited"/>
        <s v="Stanley Lifestyles Limited"/>
        <s v="DEE Development Engineers Limited"/>
        <s v="Le Travenues Technology Limited"/>
        <s v="Kronox Lab SciencesLimited"/>
        <s v="Awfis Space Solutions Limited"/>
        <s v="Go Digit General Insurance Limited"/>
        <s v="Aadhar Housing Finance Limited"/>
        <s v="TBO Tek Limited"/>
        <s v="Indegene Limited"/>
        <s v="JNK India Limited"/>
        <s v="Bharti Hexacom Limited"/>
        <s v="Krystal Integrated Services Limited"/>
        <s v="Popular Vehicles and Services Limited"/>
        <s v="Gopal Snacks Limited"/>
        <s v="J G Chemicals Limited"/>
        <s v="R K Swamy Limited"/>
        <s v="Exicom Telesystems Limited"/>
        <s v="GPT Healthcare Limited"/>
        <s v="Juniper Hotels Limited"/>
        <s v="Entero Healthcare Solutions Limited"/>
        <s v="Capital Small Finance Bank Limited"/>
        <s v="Jana Small Finance Bank Limited"/>
        <s v="Rashi Peripherals Limited"/>
        <s v="Apeejay Surrendra Park Hotels Limited"/>
        <s v="BLS E- Services Limited"/>
        <s v="EPACK Durable Limited"/>
        <s v="Medi Assist Healthcare Services Limited"/>
        <s v="Jyoti CNC Automation Limited"/>
        <s v="Innova Captab Limited"/>
        <s v="Azad Engineering Limited"/>
        <s v="Happy Forging Limited"/>
        <s v="Credo Brands Marketing Limited"/>
        <s v="Muthoot Microfin Limited"/>
        <s v="Suraj Estate Developers Limited"/>
        <s v="INOX India Limited"/>
        <s v="DOMS Industries Limited"/>
        <s v="India Shelter Finance Corporation Limited"/>
        <s v="Flair Writing Industries Limited"/>
        <s v="Tata Technologies Limited"/>
        <s v="Gandhar Oil Refinery (India) Limited"/>
        <s v="Fedbank Financial Services Limited"/>
        <s v="ASK Automotive Limited"/>
        <s v="ESAF Small Finance Bank Limited"/>
        <s v="Honasa Consumer Limited"/>
        <s v="Cello World Limited"/>
        <s v="Blue Jet Healthcare Limited"/>
        <s v="IRM ENERGY LIMITED"/>
        <s v="Updater Services Limited"/>
        <s v="JSW Infrastructure Limited"/>
        <s v="Manoj Vaibhav Gems N Jewellers Limited"/>
        <s v="Signatureglobal (India) Limited"/>
        <s v="Sai Silks (Kalamandir) Limited"/>
        <s v="Yatra Online Limited"/>
        <s v="Zaggle Prepaid Ocean Services Limited"/>
        <s v="SAMHI Hotels Limited"/>
        <s v="R R Kabel Limited"/>
        <s v="EMS Limited"/>
        <s v="Jupiter Life Line Hospitals Limited"/>
        <s v="Rishabh Instruments Limited"/>
        <s v="Vishnu Prakash R Punglia Limited"/>
        <s v="Aeroflex Industries Limited"/>
        <s v="TVS Supply Chain Solutions Limited"/>
        <s v="Concord Biotech Limited"/>
        <s v="SBFC Finance Limited"/>
        <s v="Yatharth Hospital and Trauma Care Services Limited"/>
        <s v="Netweb Technologies India Limited"/>
        <s v="Utkarsh Small Finance Bank Limited"/>
        <s v="Senco Gold Limited"/>
        <s v="Cyient DLM Limited"/>
        <s v="Ideaforge Technology Limited"/>
        <s v="HMA Agro Industries Limited"/>
        <s v="IKIO Lighting Limited"/>
        <s v="Mankind Pharma Limited"/>
        <s v="Avalon Technologies Limited"/>
        <s v="Divgi TorqTransfer Systems Limited"/>
        <s v="Radiant Cash Management Services Limited"/>
        <s v="Elin Electronics Limited"/>
        <s v="KFin Technologies Limited"/>
        <s v="Landmark Cars Limited"/>
        <s v="Sula Vineyards Limited"/>
        <s v="Abans Holdings Limited"/>
        <s v="Uniparts India Limited"/>
        <s v="Dharmaj Crop Guard Limited"/>
        <s v="Keystone Realtors Limited"/>
        <s v="Inox Green Energy Services Limited"/>
        <s v="Kaynes Technology India Limited"/>
        <s v="Archean Chemical Industries Limited"/>
        <s v="Bikaji Foods International Limited"/>
        <s v="Global Health Limited"/>
        <s v="Fusion Micro Finance Limited"/>
        <s v="Tracxn Technologies Limited"/>
        <s v="Electronics Mart India Limited"/>
        <s v="Harsha Engineers International Limited"/>
        <s v="Dreamfolks Services Limited"/>
        <s v="Syrma SGS Technology Limited"/>
        <s v="Aether Industries Limited"/>
        <s v="eMudhra Limited"/>
        <s v="ETHOS Limited"/>
        <s v="Paradeep Phosphates Limited"/>
        <s v="Delhivery Limited"/>
        <s v="Prudent Corporate Advisory Services Limited"/>
        <s v="Life Insurance Corporation of India"/>
        <s v="Rainbow Childrens Medicare Limited"/>
        <s v="Campus Activewear Limited"/>
        <s v="Vedant Fashions Limited"/>
        <s v="Adani Wilmar Limited"/>
        <s v="AGS Transact Technologies Limited"/>
        <s v="CMS Info Systems Limited"/>
        <s v="Supriya Lifescience Limited"/>
        <s v="Data Patterns (India) Limited"/>
        <s v="MedPlus Health Services Limited"/>
        <s v="Metro Brands Limited"/>
        <s v="C.E. Info Systems Limited"/>
        <s v="Shriram Properties Limited"/>
        <s v="RateGain Travel Technologies Limited"/>
        <s v="Anand Rathi Wealth Limited"/>
        <s v="Tega Industries Limited"/>
        <s v="Star Health and Allied Insurance Company Limited"/>
        <s v="Go Fashion (India) Limited"/>
        <s v="Tarsons Products Limited"/>
        <s v="Latent View Analytics Limited"/>
        <s v="Sapphire Foods India Limited"/>
        <s v="One 97 Communications Limited"/>
        <s v="PB Fintech Limited"/>
        <s v="FINO Payments Bank Limited"/>
        <s v="Aditya Birla Sun Life AMC Limited"/>
        <s v="Sansera Engineering Limited"/>
        <s v="Vijaya Diagnostic Centre Limited"/>
        <s v="Ami Organics Limited"/>
        <s v="Chemplast Sanmar Limited"/>
        <s v="Aptus Value Housing Finance India Limited"/>
        <s v="Nuvoco Vistas Corporation Limited"/>
        <s v="CarTrade Tech Limited"/>
        <s v="Windlas Biotech Limited"/>
        <s v="Devyani International Limited"/>
        <s v="Krsnaa Diagnostics Limited"/>
        <s v="Rolex Rings Limited"/>
        <s v="Glenmark Life Sciences Limited"/>
        <s v="Tatva Chintan Pharma Chem Limited"/>
        <s v="Zomato Limited"/>
        <s v="G R Infraprojects Limited"/>
        <s v="Clean Science and Technology Limited"/>
        <s v="India Pesticides Limited"/>
        <s v="Krishna Institute of Medical Sciences Limited"/>
        <s v="Dodla Dairy Limited"/>
        <s v="Shyam Metalics and Energy Limited"/>
        <s v="Sona BLW Precision Forgings Limited"/>
        <s v="Macrotech Developers Limited"/>
        <s v="Nazara Technologies Limited"/>
        <s v="Suryoday Small Finance Bank Limited"/>
        <s v="Kalyan Jewellers India Limited"/>
        <s v="Craftsman Automation Limited"/>
        <s v="Laxmi Organic Industries Limited"/>
        <s v="Easy Trip Planners Limited"/>
        <s v="MTAR Technologies Limited"/>
        <s v="Heranba Industries Limited"/>
        <s v="RailTel Corporation of India Limited"/>
        <s v="Stove Kraft Limited"/>
        <s v="Home First Finance Company India Limited"/>
        <s v="Indigo Paints Limited"/>
        <s v="Antony Waste Handling Cell Limited"/>
        <s v="Mrs. Bectors Food Specialities Limited"/>
        <s v="Burger King India Limited"/>
        <s v="Gland Pharma Limited"/>
        <s v="Equitas Small Finance Bank Limited"/>
        <s v="UTI Asset Management Company Limited"/>
        <s v="Mazagon Dock Shipbuilders Limited"/>
        <s v="Angel Broking Limited"/>
        <s v="Chemcon Speciality Chemicals Limited"/>
        <s v="Computer Age Management Services Limited"/>
        <s v="Route Mobile Limited"/>
        <s v="Happiest Minds Technologies Limited"/>
        <s v="Rossari Biotech Limited"/>
        <s v="SBI Cards and Payment Services Limited"/>
        <m/>
      </sharedItems>
    </cacheField>
    <cacheField name="Symbol" numFmtId="0">
      <sharedItems containsBlank="1" count="194">
        <s v="ARKADE"/>
        <s v="NORTHARC"/>
        <s v="WCIL"/>
        <s v="PNGJL"/>
        <s v="BAJAJHFL"/>
        <s v="KROSS"/>
        <s v="STYLEBAAZA"/>
        <s v="ECOSMOBLTY"/>
        <s v="PREMIERENE"/>
        <s v="INTERARCH"/>
        <s v="UNIECOM"/>
        <s v="FIRSTCRY"/>
        <s v="OLAELEC"/>
        <s v="CEIGALL"/>
        <s v="AKUMS"/>
        <s v="SANSTAR"/>
        <s v="EMCURE"/>
        <s v="BANSALWIRE"/>
        <s v="ABDL"/>
        <s v="STANLEY"/>
        <s v="DEEDEV"/>
        <s v="IXIGO"/>
        <s v="KRONOX"/>
        <s v="AWFIS"/>
        <s v="GODIGIT"/>
        <s v="AADHARHFC"/>
        <s v="TBOTEK"/>
        <s v="INDGN"/>
        <s v="JNKINDIA"/>
        <s v="BHARTIHEXA"/>
        <s v="KRYSTAL"/>
        <s v="PVSL"/>
        <s v="GOPAL"/>
        <s v="JGCHEM"/>
        <s v="RKSWAMY"/>
        <s v="EXICOM"/>
        <s v="GPTHEALTH"/>
        <s v="JUNIPER"/>
        <s v="ENTERO"/>
        <s v="CAPITALSFB"/>
        <s v="JSFB"/>
        <s v="RPTECH"/>
        <s v="PARKHOTELS"/>
        <s v="BLSE"/>
        <s v="EPACK"/>
        <s v="MEDIASSIST"/>
        <s v="JYOTICNC"/>
        <s v="INNOVACAP"/>
        <s v="AZAD"/>
        <s v="HAPPYFORGE"/>
        <s v="MUFTI"/>
        <s v="MUTHOOTMF"/>
        <s v="SURAJEST"/>
        <s v="INOXINDIA"/>
        <s v="DOMS"/>
        <s v="INDIASHLTR"/>
        <s v="FLAIR"/>
        <s v="TATATECH"/>
        <s v="GANDHAR"/>
        <s v="FEDFINA"/>
        <s v="ASKAUTOLTD"/>
        <s v="ESAFSFB"/>
        <s v="HONASA"/>
        <s v="CELLO"/>
        <s v="BLUEJET"/>
        <s v="IRMENERGY"/>
        <s v="UDS"/>
        <s v="JSWINFRA"/>
        <s v="MVGJL"/>
        <s v="SIGNATURE"/>
        <s v="KALAMANDIR"/>
        <s v="YATRA"/>
        <s v="ZAGGLE"/>
        <s v="SAMHI"/>
        <s v="RRKABEL"/>
        <s v="EMSLIMITED"/>
        <s v="JLHL"/>
        <s v="RISHABH"/>
        <s v="VPRPL"/>
        <s v="AEROFLEX"/>
        <s v="TVSSCS"/>
        <s v="CONCORDBIO"/>
        <s v="SBFC"/>
        <s v="YATHARTH"/>
        <s v="NETWEB"/>
        <s v="UTKARSHBNK"/>
        <s v="SENCO"/>
        <s v="CYIENTDLM"/>
        <s v="IDEAFORGE"/>
        <s v="HMAAGRO"/>
        <s v="IKIO"/>
        <s v="MANKIND"/>
        <s v="AVALON"/>
        <s v="DIVGIITTS"/>
        <s v="RADIANTCMS"/>
        <s v="ELIN"/>
        <s v="KFINTECH"/>
        <s v="LANDMARK"/>
        <s v="SULA"/>
        <s v="AHL"/>
        <s v="UNIPARTS"/>
        <s v="DHARMAJ"/>
        <s v="RUSTOMJEE"/>
        <s v="INOXGREEN"/>
        <s v="KAYNES"/>
        <s v="ACI"/>
        <s v="BIKAJI"/>
        <s v="MEDANTA"/>
        <s v="FUSION"/>
        <s v="TRACXN"/>
        <s v="EMIL"/>
        <s v="HARSHA"/>
        <s v="DREAMFOLKS"/>
        <s v="SYRMA"/>
        <s v="AETHER"/>
        <s v="EMUDHRA"/>
        <s v="ETHOSLTD"/>
        <s v="PARADEEP"/>
        <s v="DELHIVERY"/>
        <s v="PRUDENT"/>
        <s v="LICI"/>
        <s v="RAINBOW"/>
        <s v="CAMPUS"/>
        <s v="MANYAVAR"/>
        <s v="AWL"/>
        <s v="AGSTRA"/>
        <s v="CMSINFO"/>
        <s v="SUPRIYA"/>
        <s v="DATAPATTNS"/>
        <s v="MEDPLUS"/>
        <s v="METROBRAND"/>
        <s v="MAPMYINDIA"/>
        <s v="SHRIRAMPPS"/>
        <s v="RATEGAIN"/>
        <s v="ANANDRATHI"/>
        <s v="TEGA"/>
        <s v="STARHEALTH"/>
        <s v="GOCOLORS"/>
        <s v="TARSONS"/>
        <s v="LATENTVIEW"/>
        <s v="SAPPHIRE"/>
        <s v="PAYTM"/>
        <s v="POLICYBZR"/>
        <s v="FINOPB"/>
        <s v="ABSLAMC"/>
        <s v="SANSERA"/>
        <s v="VIJAYA"/>
        <s v="AMIORG"/>
        <s v="CHEMPLASTS"/>
        <s v="APTUS"/>
        <s v="NUVOCO"/>
        <s v="CARTRADE"/>
        <s v="WINDLAS"/>
        <s v="DEVYANI"/>
        <s v="KRSNAA"/>
        <s v="ROLEXRINGS"/>
        <s v="GLS"/>
        <s v="TATVA"/>
        <s v="ZOMATO"/>
        <s v="GRINFRA"/>
        <s v="CLEAN"/>
        <s v="IPL"/>
        <s v="KIMS"/>
        <s v="DODLA"/>
        <s v="SHYAMMETL"/>
        <s v="SONACOMS"/>
        <s v="LODHA"/>
        <s v="NAZARA"/>
        <s v="SURYODAY"/>
        <s v="KALYANKJIL"/>
        <s v="CRAFTSMAN"/>
        <s v="LXCHEM"/>
        <s v="EASEMYTRIP"/>
        <s v="MTARTECH"/>
        <s v="HERANBA"/>
        <s v="RAILTEL"/>
        <s v="STOVEKRAFT"/>
        <s v="HOMEFIRST"/>
        <s v="INDIGOPNTS"/>
        <s v="AWHCL"/>
        <s v="BECTORFOOD"/>
        <s v="BURGERKING"/>
        <s v="GLAND"/>
        <s v="EQUITASBNK"/>
        <s v="UTIAMC"/>
        <s v="MAZDOCK"/>
        <s v="ANGELBRKG"/>
        <s v="CHEMCON"/>
        <s v="CAMS"/>
        <s v="ROUTE"/>
        <s v="HAPPSTMNDS"/>
        <s v="ROSSARI"/>
        <s v="SBICARD"/>
        <m/>
      </sharedItems>
    </cacheField>
    <cacheField name="ISSUE PRICE" numFmtId="0">
      <sharedItems containsString="0" containsBlank="1" containsNumber="1" containsInteger="1" minValue="25" maxValue="2150"/>
    </cacheField>
    <cacheField name="DATE OF LISTING" numFmtId="0">
      <sharedItems containsNonDate="0" containsDate="1" containsString="0" containsBlank="1" minDate="2020-03-16T00:00:00" maxDate="2024-09-25T00:00:00"/>
    </cacheField>
    <cacheField name="Year of Listing" numFmtId="0">
      <sharedItems containsString="0" containsBlank="1" containsNumber="1" containsInteger="1" minValue="2020" maxValue="2024" count="6">
        <n v="2024"/>
        <n v="2023"/>
        <n v="2022"/>
        <n v="2021"/>
        <n v="2020"/>
        <m/>
      </sharedItems>
    </cacheField>
    <cacheField name="Month of Listing" numFmtId="0">
      <sharedItems containsString="0" containsBlank="1" containsNumber="1" containsInteger="1" minValue="1" maxValue="12"/>
    </cacheField>
    <cacheField name="Listing Price" numFmtId="0">
      <sharedItems containsString="0" containsBlank="1" containsNumber="1" minValue="31.1" maxValue="2607.5"/>
    </cacheField>
    <cacheField name="HIGHEST_PRICE" numFmtId="0">
      <sharedItems containsString="0" containsBlank="1" containsNumber="1" minValue="68.3" maxValue="6679.65"/>
    </cacheField>
    <cacheField name="HIGHEST_PRICE DATE" numFmtId="0">
      <sharedItems containsNonDate="0" containsDate="1" containsString="0" containsBlank="1" minDate="2020-10-01T00:00:00" maxDate="2024-09-19T00:00:00"/>
    </cacheField>
    <cacheField name="LOWEST_PRICE" numFmtId="0">
      <sharedItems containsString="0" containsBlank="1" containsNumber="1" minValue="30.05" maxValue="1260"/>
    </cacheField>
    <cacheField name="LOWEST_PRICE DATE" numFmtId="0">
      <sharedItems containsNonDate="0" containsDate="1" containsString="0" containsBlank="1" minDate="2020-05-22T00:00:00" maxDate="2024-09-19T00:00:00"/>
    </cacheField>
    <cacheField name="DAY1_HIGHEST" numFmtId="0">
      <sharedItems containsNonDate="0" containsString="0" containsBlank="1"/>
    </cacheField>
    <cacheField name="DAY2_HIGHEST" numFmtId="0">
      <sharedItems containsNonDate="0" containsString="0" containsBlank="1"/>
    </cacheField>
    <cacheField name="DAY3_HIGHEST" numFmtId="0">
      <sharedItems containsNonDate="0" containsString="0" containsBlank="1"/>
    </cacheField>
    <cacheField name="Days to 10% of Issue Price" numFmtId="0">
      <sharedItems containsString="0" containsBlank="1" containsNumber="1" containsInteger="1" minValue="-213" maxValue="870" count="42">
        <m/>
        <n v="1"/>
        <n v="2"/>
        <n v="43"/>
        <n v="140"/>
        <n v="201"/>
        <n v="8"/>
        <n v="149"/>
        <n v="127"/>
        <n v="14"/>
        <n v="63"/>
        <n v="80"/>
        <n v="7"/>
        <n v="5"/>
        <n v="17"/>
        <n v="16"/>
        <n v="50"/>
        <n v="10"/>
        <n v="627"/>
        <n v="212"/>
        <n v="15"/>
        <n v="27"/>
        <n v="146"/>
        <n v="213"/>
        <n v="246"/>
        <n v="30"/>
        <n v="55"/>
        <n v="54"/>
        <n v="112"/>
        <n v="632"/>
        <n v="95"/>
        <n v="745"/>
        <n v="29"/>
        <n v="163"/>
        <n v="870"/>
        <n v="4"/>
        <n v="539"/>
        <n v="22"/>
        <n v="143"/>
        <n v="26"/>
        <n v="-213"/>
        <n v="157"/>
      </sharedItems>
    </cacheField>
    <cacheField name="Date - 10% of Issue Price" numFmtId="0">
      <sharedItems containsNonDate="0" containsDate="1" containsString="0" containsBlank="1" minDate="2020-07-23T00:00:00" maxDate="2024-09-18T00:00:00"/>
    </cacheField>
    <cacheField name="High Price - 10% of Issue Price" numFmtId="0">
      <sharedItems containsString="0" containsBlank="1" containsNumber="1" minValue="38" maxValue="3129"/>
    </cacheField>
    <cacheField name="Days to 20% of Issue Price" numFmtId="0">
      <sharedItems containsString="0" containsBlank="1" containsNumber="1" containsInteger="1" minValue="-213" maxValue="983" count="52">
        <m/>
        <n v="1"/>
        <n v="2"/>
        <n v="9"/>
        <n v="15"/>
        <n v="27"/>
        <n v="16"/>
        <n v="43"/>
        <n v="209"/>
        <n v="72"/>
        <n v="13"/>
        <n v="177"/>
        <n v="133"/>
        <n v="212"/>
        <n v="17"/>
        <n v="99"/>
        <n v="80"/>
        <n v="10"/>
        <n v="22"/>
        <n v="8"/>
        <n v="4"/>
        <n v="26"/>
        <n v="59"/>
        <n v="57"/>
        <n v="50"/>
        <n v="240"/>
        <n v="28"/>
        <n v="188"/>
        <n v="233"/>
        <n v="369"/>
        <n v="237"/>
        <n v="378"/>
        <n v="86"/>
        <n v="56"/>
        <n v="60"/>
        <n v="167"/>
        <n v="633"/>
        <n v="48"/>
        <n v="983"/>
        <n v="33"/>
        <n v="121"/>
        <n v="54"/>
        <n v="637"/>
        <n v="42"/>
        <n v="907"/>
        <n v="909"/>
        <n v="561"/>
        <n v="70"/>
        <n v="46"/>
        <n v="204"/>
        <n v="-213"/>
        <n v="214"/>
      </sharedItems>
    </cacheField>
    <cacheField name="Date - 20% of Issue Price" numFmtId="0">
      <sharedItems containsNonDate="0" containsDate="1" containsString="0" containsBlank="1" minDate="2020-07-23T00:00:00" maxDate="2024-09-18T00:00:00"/>
    </cacheField>
    <cacheField name="High Price - 20% of Issue Price" numFmtId="0">
      <sharedItems containsString="0" containsBlank="1" containsNumber="1" minValue="39.6" maxValue="3129"/>
    </cacheField>
    <cacheField name="Days to 30% of Issue Price" numFmtId="0">
      <sharedItems containsString="0" containsBlank="1" containsNumber="1" containsInteger="1" minValue="-139" maxValue="1063" count="70">
        <m/>
        <n v="1"/>
        <n v="4"/>
        <n v="7"/>
        <n v="63"/>
        <n v="21"/>
        <n v="16"/>
        <n v="31"/>
        <n v="23"/>
        <n v="141"/>
        <n v="3"/>
        <n v="77"/>
        <n v="142"/>
        <n v="225"/>
        <n v="15"/>
        <n v="5"/>
        <n v="149"/>
        <n v="184"/>
        <n v="45"/>
        <n v="219"/>
        <n v="90"/>
        <n v="17"/>
        <n v="60"/>
        <n v="266"/>
        <n v="343"/>
        <n v="10"/>
        <n v="55"/>
        <n v="14"/>
        <n v="99"/>
        <n v="20"/>
        <n v="65"/>
        <n v="58"/>
        <n v="257"/>
        <n v="53"/>
        <n v="170"/>
        <n v="288"/>
        <n v="574"/>
        <n v="411"/>
        <n v="380"/>
        <n v="2"/>
        <n v="186"/>
        <n v="420"/>
        <n v="35"/>
        <n v="56"/>
        <n v="79"/>
        <n v="67"/>
        <n v="57"/>
        <n v="167"/>
        <n v="165"/>
        <n v="8"/>
        <n v="28"/>
        <n v="600"/>
        <n v="121"/>
        <n v="86"/>
        <n v="676"/>
        <n v="841"/>
        <n v="43"/>
        <n v="1010"/>
        <n v="1063"/>
        <n v="918"/>
        <n v="19"/>
        <n v="620"/>
        <n v="103"/>
        <n v="62"/>
        <n v="252"/>
        <n v="93"/>
        <n v="218"/>
        <n v="64"/>
        <n v="-139"/>
        <n v="298"/>
      </sharedItems>
    </cacheField>
    <cacheField name="Date - 30% of Issue Price" numFmtId="0">
      <sharedItems containsNonDate="0" containsDate="1" containsString="0" containsBlank="1" minDate="2020-07-23T00:00:00" maxDate="2024-09-18T00:00:00"/>
    </cacheField>
    <cacheField name="High Price - 30% of Issue Price" numFmtId="0">
      <sharedItems containsString="0" containsBlank="1" containsNumber="1" minValue="43.35" maxValue="3129"/>
    </cacheField>
    <cacheField name="Days to 40% of Issue Price" numFmtId="0">
      <sharedItems containsString="0" containsBlank="1" containsNumber="1" containsInteger="1" minValue="-136" maxValue="1104" count="71">
        <m/>
        <n v="1"/>
        <n v="2"/>
        <n v="4"/>
        <n v="8"/>
        <n v="26"/>
        <n v="45"/>
        <n v="22"/>
        <n v="91"/>
        <n v="50"/>
        <n v="23"/>
        <n v="150"/>
        <n v="77"/>
        <n v="148"/>
        <n v="226"/>
        <n v="143"/>
        <n v="3"/>
        <n v="210"/>
        <n v="33"/>
        <n v="163"/>
        <n v="186"/>
        <n v="232"/>
        <n v="18"/>
        <n v="67"/>
        <n v="275"/>
        <n v="37"/>
        <n v="24"/>
        <n v="63"/>
        <n v="64"/>
        <n v="14"/>
        <n v="15"/>
        <n v="144"/>
        <n v="20"/>
        <n v="66"/>
        <n v="30"/>
        <n v="78"/>
        <n v="58"/>
        <n v="316"/>
        <n v="219"/>
        <n v="473"/>
        <n v="596"/>
        <n v="632"/>
        <n v="385"/>
        <n v="59"/>
        <n v="46"/>
        <n v="13"/>
        <n v="9"/>
        <n v="190"/>
        <n v="421"/>
        <n v="323"/>
        <n v="98"/>
        <n v="194"/>
        <n v="179"/>
        <n v="168"/>
        <n v="223"/>
        <n v="609"/>
        <n v="396"/>
        <n v="856"/>
        <n v="820"/>
        <n v="970"/>
        <n v="1010"/>
        <n v="1104"/>
        <n v="949"/>
        <n v="16"/>
        <n v="628"/>
        <n v="103"/>
        <n v="272"/>
        <n v="99"/>
        <n v="212"/>
        <n v="-136"/>
        <n v="340"/>
      </sharedItems>
    </cacheField>
    <cacheField name="Date - 40% of Issue Price" numFmtId="0">
      <sharedItems containsNonDate="0" containsDate="1" containsString="0" containsBlank="1" minDate="2020-07-23T00:00:00" maxDate="2024-09-18T00:00:00"/>
    </cacheField>
    <cacheField name="High Price - 40% of Issue Price" numFmtId="0">
      <sharedItems containsString="0" containsBlank="1" containsNumber="1" minValue="47.5" maxValue="3129"/>
    </cacheField>
    <cacheField name="Days to 50% of Issue Price" numFmtId="0">
      <sharedItems containsString="0" containsBlank="1" containsNumber="1" containsInteger="1" minValue="-128" maxValue="1121" count="80">
        <m/>
        <n v="1"/>
        <n v="7"/>
        <n v="5"/>
        <n v="9"/>
        <n v="27"/>
        <n v="70"/>
        <n v="23"/>
        <n v="14"/>
        <n v="28"/>
        <n v="65"/>
        <n v="117"/>
        <n v="150"/>
        <n v="79"/>
        <n v="12"/>
        <n v="228"/>
        <n v="218"/>
        <n v="16"/>
        <n v="229"/>
        <n v="34"/>
        <n v="190"/>
        <n v="191"/>
        <n v="183"/>
        <n v="258"/>
        <n v="18"/>
        <n v="242"/>
        <n v="279"/>
        <n v="42"/>
        <n v="35"/>
        <n v="22"/>
        <n v="112"/>
        <n v="50"/>
        <n v="47"/>
        <n v="64"/>
        <n v="37"/>
        <n v="81"/>
        <n v="73"/>
        <n v="324"/>
        <n v="188"/>
        <n v="380"/>
        <n v="473"/>
        <n v="614"/>
        <n v="385"/>
        <n v="77"/>
        <n v="54"/>
        <n v="246"/>
        <n v="93"/>
        <n v="221"/>
        <n v="446"/>
        <n v="4"/>
        <n v="72"/>
        <n v="334"/>
        <n v="103"/>
        <n v="197"/>
        <n v="179"/>
        <n v="192"/>
        <n v="3"/>
        <n v="299"/>
        <n v="109"/>
        <n v="26"/>
        <n v="223"/>
        <n v="629"/>
        <n v="400"/>
        <n v="988"/>
        <n v="992"/>
        <n v="970"/>
        <n v="49"/>
        <n v="1032"/>
        <n v="155"/>
        <n v="1121"/>
        <n v="17"/>
        <n v="635"/>
        <n v="184"/>
        <n v="68"/>
        <n v="104"/>
        <n v="288"/>
        <n v="66"/>
        <n v="213"/>
        <n v="-128"/>
        <n v="347"/>
      </sharedItems>
    </cacheField>
    <cacheField name="Date - 50% of Issue Price" numFmtId="0">
      <sharedItems containsNonDate="0" containsDate="1" containsString="0" containsBlank="1" minDate="2020-07-23T00:00:00" maxDate="2024-09-18T00:00:00"/>
    </cacheField>
    <cacheField name="High Price - 50% of Issue Price" numFmtId="0">
      <sharedItems containsString="0" containsBlank="1" containsNumber="1" minValue="48" maxValue="3129"/>
    </cacheField>
    <cacheField name="Days to 60% of Issue Price" numFmtId="0">
      <sharedItems containsString="0" containsBlank="1" containsNumber="1" containsInteger="1" minValue="-84" maxValue="1128" count="80">
        <m/>
        <n v="1"/>
        <n v="14"/>
        <n v="5"/>
        <n v="48"/>
        <n v="51"/>
        <n v="42"/>
        <n v="2"/>
        <n v="124"/>
        <n v="161"/>
        <n v="79"/>
        <n v="231"/>
        <n v="226"/>
        <n v="16"/>
        <n v="235"/>
        <n v="34"/>
        <n v="191"/>
        <n v="49"/>
        <n v="244"/>
        <n v="288"/>
        <n v="294"/>
        <n v="36"/>
        <n v="41"/>
        <n v="53"/>
        <n v="134"/>
        <n v="52"/>
        <n v="82"/>
        <n v="60"/>
        <n v="194"/>
        <n v="70"/>
        <n v="43"/>
        <n v="87"/>
        <n v="106"/>
        <n v="398"/>
        <n v="260"/>
        <n v="383"/>
        <n v="475"/>
        <n v="628"/>
        <n v="385"/>
        <n v="92"/>
        <n v="57"/>
        <n v="252"/>
        <n v="238"/>
        <n v="3"/>
        <n v="621"/>
        <n v="270"/>
        <n v="353"/>
        <n v="348"/>
        <n v="111"/>
        <n v="202"/>
        <n v="185"/>
        <n v="103"/>
        <n v="204"/>
        <n v="307"/>
        <n v="246"/>
        <n v="29"/>
        <n v="233"/>
        <n v="9"/>
        <n v="686"/>
        <n v="486"/>
        <n v="1004"/>
        <n v="992"/>
        <n v="996"/>
        <n v="1032"/>
        <n v="80"/>
        <n v="297"/>
        <n v="1128"/>
        <n v="18"/>
        <n v="753"/>
        <n v="803"/>
        <n v="47"/>
        <n v="825"/>
        <n v="203"/>
        <n v="74"/>
        <n v="296"/>
        <n v="1047"/>
        <n v="123"/>
        <n v="256"/>
        <n v="214"/>
        <n v="-84"/>
      </sharedItems>
    </cacheField>
    <cacheField name="Date - 60% of Issue Price" numFmtId="0">
      <sharedItems containsNonDate="0" containsDate="1" containsString="0" containsBlank="1" minDate="2020-07-23T00:00:00" maxDate="2024-09-18T00:00:00"/>
    </cacheField>
    <cacheField name="High Price - 60% of Issue Price" numFmtId="0">
      <sharedItems containsString="0" containsBlank="1" containsNumber="1" minValue="48" maxValue="3129"/>
    </cacheField>
    <cacheField name="Days to 70% of Issue Price" numFmtId="0">
      <sharedItems containsString="0" containsBlank="1" containsNumber="1" containsInteger="1" minValue="-17" maxValue="1132" count="85">
        <m/>
        <n v="1"/>
        <n v="14"/>
        <n v="5"/>
        <n v="15"/>
        <n v="56"/>
        <n v="50"/>
        <n v="24"/>
        <n v="7"/>
        <n v="161"/>
        <n v="118"/>
        <n v="231"/>
        <n v="238"/>
        <n v="17"/>
        <n v="252"/>
        <n v="35"/>
        <n v="192"/>
        <n v="57"/>
        <n v="36"/>
        <n v="49"/>
        <n v="42"/>
        <n v="140"/>
        <n v="154"/>
        <n v="63"/>
        <n v="151"/>
        <n v="2"/>
        <n v="83"/>
        <n v="382"/>
        <n v="75"/>
        <n v="65"/>
        <n v="178"/>
        <n v="399"/>
        <n v="260"/>
        <n v="383"/>
        <n v="512"/>
        <n v="386"/>
        <n v="133"/>
        <n v="85"/>
        <n v="294"/>
        <n v="182"/>
        <n v="245"/>
        <n v="3"/>
        <n v="625"/>
        <n v="261"/>
        <n v="271"/>
        <n v="384"/>
        <n v="366"/>
        <n v="400"/>
        <n v="112"/>
        <n v="228"/>
        <n v="373"/>
        <n v="103"/>
        <n v="230"/>
        <n v="4"/>
        <n v="545"/>
        <n v="249"/>
        <n v="233"/>
        <n v="9"/>
        <n v="697"/>
        <n v="574"/>
        <n v="526"/>
        <n v="1004"/>
        <n v="1000"/>
        <n v="1072"/>
        <n v="1033"/>
        <n v="297"/>
        <n v="1132"/>
        <n v="162"/>
        <n v="753"/>
        <n v="898"/>
        <n v="48"/>
        <n v="87"/>
        <n v="827"/>
        <n v="203"/>
        <n v="41"/>
        <n v="74"/>
        <n v="110"/>
        <n v="296"/>
        <n v="1105"/>
        <n v="105"/>
        <n v="123"/>
        <n v="285"/>
        <n v="239"/>
        <n v="215"/>
        <n v="-17"/>
      </sharedItems>
    </cacheField>
    <cacheField name="Date - 70% of Issue Price" numFmtId="0">
      <sharedItems containsNonDate="0" containsDate="1" containsString="0" containsBlank="1" minDate="2020-07-23T00:00:00" maxDate="2024-09-18T00:00:00"/>
    </cacheField>
    <cacheField name="High Price - 70% of Issue Price" numFmtId="0">
      <sharedItems containsString="0" containsBlank="1" containsNumber="1" minValue="48" maxValue="3129"/>
    </cacheField>
    <cacheField name="Days to 80% of Issue Price" numFmtId="0">
      <sharedItems containsString="0" containsBlank="1" containsNumber="1" containsInteger="1" minValue="-9" maxValue="1132" count="76">
        <m/>
        <n v="1"/>
        <n v="11"/>
        <n v="64"/>
        <n v="2"/>
        <n v="50"/>
        <n v="41"/>
        <n v="42"/>
        <n v="162"/>
        <n v="127"/>
        <n v="17"/>
        <n v="264"/>
        <n v="35"/>
        <n v="196"/>
        <n v="57"/>
        <n v="37"/>
        <n v="48"/>
        <n v="152"/>
        <n v="155"/>
        <n v="251"/>
        <n v="54"/>
        <n v="83"/>
        <n v="387"/>
        <n v="76"/>
        <n v="73"/>
        <n v="197"/>
        <n v="405"/>
        <n v="383"/>
        <n v="544"/>
        <n v="406"/>
        <n v="133"/>
        <n v="456"/>
        <n v="365"/>
        <n v="195"/>
        <n v="255"/>
        <n v="278"/>
        <n v="638"/>
        <n v="261"/>
        <n v="385"/>
        <n v="400"/>
        <n v="435"/>
        <n v="586"/>
        <n v="428"/>
        <n v="4"/>
        <n v="560"/>
        <n v="3"/>
        <n v="249"/>
        <n v="233"/>
        <n v="15"/>
        <n v="736"/>
        <n v="577"/>
        <n v="529"/>
        <n v="1016"/>
        <n v="1006"/>
        <n v="1088"/>
        <n v="1081"/>
        <n v="89"/>
        <n v="306"/>
        <n v="1132"/>
        <n v="186"/>
        <n v="754"/>
        <n v="911"/>
        <n v="100"/>
        <n v="834"/>
        <n v="209"/>
        <n v="75"/>
        <n v="5"/>
        <n v="145"/>
        <n v="556"/>
        <n v="1126"/>
        <n v="117"/>
        <n v="123"/>
        <n v="291"/>
        <n v="239"/>
        <n v="215"/>
        <n v="-9"/>
      </sharedItems>
    </cacheField>
    <cacheField name="Date - 80% of Issue Price" numFmtId="0">
      <sharedItems containsNonDate="0" containsDate="1" containsString="0" containsBlank="1" minDate="2020-07-23T00:00:00" maxDate="2024-09-18T00:00:00"/>
    </cacheField>
    <cacheField name="High Price - 80% of Issue Price" numFmtId="0">
      <sharedItems containsString="0" containsBlank="1" containsNumber="1" minValue="48" maxValue="3129"/>
    </cacheField>
    <cacheField name="Days to 90% of Issue Price" numFmtId="0">
      <sharedItems containsString="0" containsBlank="1" containsNumber="1" containsInteger="1" minValue="-8" maxValue="1282" count="76">
        <m/>
        <n v="1"/>
        <n v="11"/>
        <n v="10"/>
        <n v="2"/>
        <n v="50"/>
        <n v="41"/>
        <n v="53"/>
        <n v="162"/>
        <n v="17"/>
        <n v="35"/>
        <n v="196"/>
        <n v="65"/>
        <n v="23"/>
        <n v="63"/>
        <n v="158"/>
        <n v="56"/>
        <n v="155"/>
        <n v="22"/>
        <n v="378"/>
        <n v="123"/>
        <n v="403"/>
        <n v="76"/>
        <n v="239"/>
        <n v="214"/>
        <n v="411"/>
        <n v="384"/>
        <n v="565"/>
        <n v="407"/>
        <n v="177"/>
        <n v="459"/>
        <n v="210"/>
        <n v="281"/>
        <n v="275"/>
        <n v="293"/>
        <n v="406"/>
        <n v="435"/>
        <n v="587"/>
        <n v="428"/>
        <n v="424"/>
        <n v="128"/>
        <n v="49"/>
        <n v="699"/>
        <n v="3"/>
        <n v="252"/>
        <n v="286"/>
        <n v="648"/>
        <n v="775"/>
        <n v="577"/>
        <n v="535"/>
        <n v="1038"/>
        <n v="1019"/>
        <n v="1089"/>
        <n v="95"/>
        <n v="330"/>
        <n v="5"/>
        <n v="460"/>
        <n v="757"/>
        <n v="912"/>
        <n v="48"/>
        <n v="106"/>
        <n v="170"/>
        <n v="834"/>
        <n v="492"/>
        <n v="100"/>
        <n v="6"/>
        <n v="145"/>
        <n v="560"/>
        <n v="1282"/>
        <n v="152"/>
        <n v="124"/>
        <n v="292"/>
        <n v="240"/>
        <n v="218"/>
        <n v="-8"/>
        <n v="20"/>
      </sharedItems>
    </cacheField>
    <cacheField name="Date - 90% of Issue Price" numFmtId="0">
      <sharedItems containsNonDate="0" containsDate="1" containsString="0" containsBlank="1" minDate="2020-08-11T00:00:00" maxDate="2024-09-18T00:00:00"/>
    </cacheField>
    <cacheField name="High Price - 90% of Issue Price" numFmtId="0">
      <sharedItems containsString="0" containsBlank="1" containsNumber="1" minValue="48" maxValue="3129"/>
    </cacheField>
    <cacheField name="Days to 100% of Issue Price" numFmtId="0">
      <sharedItems containsString="0" containsBlank="1" containsNumber="1" containsInteger="1" minValue="1" maxValue="1295" count="76">
        <m/>
        <n v="1"/>
        <n v="12"/>
        <n v="2"/>
        <n v="83"/>
        <n v="42"/>
        <n v="51"/>
        <n v="68"/>
        <n v="176"/>
        <n v="45"/>
        <n v="35"/>
        <n v="50"/>
        <n v="52"/>
        <n v="65"/>
        <n v="57"/>
        <n v="158"/>
        <n v="155"/>
        <n v="37"/>
        <n v="127"/>
        <n v="134"/>
        <n v="4"/>
        <n v="78"/>
        <n v="3"/>
        <n v="239"/>
        <n v="489"/>
        <n v="566"/>
        <n v="407"/>
        <n v="177"/>
        <n v="463"/>
        <n v="441"/>
        <n v="212"/>
        <n v="290"/>
        <n v="298"/>
        <n v="294"/>
        <n v="443"/>
        <n v="473"/>
        <n v="623"/>
        <n v="448"/>
        <n v="429"/>
        <n v="49"/>
        <n v="852"/>
        <n v="22"/>
        <n v="259"/>
        <n v="528"/>
        <n v="652"/>
        <n v="778"/>
        <n v="590"/>
        <n v="536"/>
        <n v="309"/>
        <n v="1061"/>
        <n v="1117"/>
        <n v="115"/>
        <n v="333"/>
        <n v="54"/>
        <n v="59"/>
        <n v="506"/>
        <n v="757"/>
        <n v="912"/>
        <n v="82"/>
        <n v="135"/>
        <n v="170"/>
        <n v="838"/>
        <n v="545"/>
        <n v="105"/>
        <n v="77"/>
        <n v="6"/>
        <n v="146"/>
        <n v="1038"/>
        <n v="1295"/>
        <n v="180"/>
        <n v="124"/>
        <n v="311"/>
        <n v="242"/>
        <n v="218"/>
        <n v="15"/>
        <n v="43"/>
      </sharedItems>
    </cacheField>
    <cacheField name="Date - 100% of Issue Price" numFmtId="0">
      <sharedItems containsNonDate="0" containsDate="1" containsString="0" containsBlank="1" minDate="2020-09-03T00:00:00" maxDate="2024-09-17T00:00:00"/>
    </cacheField>
    <cacheField name="High Price - 100% of Issue Price" numFmtId="0">
      <sharedItems containsString="0" containsBlank="1" containsNumber="1" minValue="56.3" maxValue="3136.45"/>
    </cacheField>
    <cacheField name="Comment" numFmtId="0">
      <sharedItems containsBlank="1" count="3">
        <s v="Company not found in Data"/>
        <m/>
        <s v="DATE OF LIST mis-match"/>
      </sharedItems>
    </cacheField>
  </cacheFields>
  <extLst>
    <ext xmlns:x14="http://schemas.microsoft.com/office/spreadsheetml/2009/9/main" uri="{725AE2AE-9491-48be-B2B4-4EB974FC3084}">
      <x14:pivotCacheDefinition pivotCacheId="1074381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
  <r>
    <x v="0"/>
    <x v="0"/>
    <n v="128"/>
    <d v="2024-09-24T00:00:00"/>
    <x v="0"/>
    <n v="9"/>
    <m/>
    <m/>
    <m/>
    <m/>
    <m/>
    <m/>
    <m/>
    <m/>
    <x v="0"/>
    <m/>
    <m/>
    <x v="0"/>
    <m/>
    <m/>
    <x v="0"/>
    <m/>
    <m/>
    <x v="0"/>
    <m/>
    <m/>
    <x v="0"/>
    <m/>
    <m/>
    <x v="0"/>
    <m/>
    <m/>
    <x v="0"/>
    <m/>
    <m/>
    <x v="0"/>
    <m/>
    <m/>
    <x v="0"/>
    <m/>
    <m/>
    <x v="0"/>
    <m/>
    <m/>
    <x v="0"/>
  </r>
  <r>
    <x v="1"/>
    <x v="1"/>
    <n v="263"/>
    <d v="2024-09-24T00:00:00"/>
    <x v="0"/>
    <n v="9"/>
    <m/>
    <m/>
    <m/>
    <m/>
    <m/>
    <m/>
    <m/>
    <m/>
    <x v="0"/>
    <m/>
    <m/>
    <x v="0"/>
    <m/>
    <m/>
    <x v="0"/>
    <m/>
    <m/>
    <x v="0"/>
    <m/>
    <m/>
    <x v="0"/>
    <m/>
    <m/>
    <x v="0"/>
    <m/>
    <m/>
    <x v="0"/>
    <m/>
    <m/>
    <x v="0"/>
    <m/>
    <m/>
    <x v="0"/>
    <m/>
    <m/>
    <x v="0"/>
    <m/>
    <m/>
    <x v="0"/>
  </r>
  <r>
    <x v="2"/>
    <x v="2"/>
    <n v="172"/>
    <d v="2024-09-24T00:00:00"/>
    <x v="0"/>
    <n v="9"/>
    <m/>
    <m/>
    <m/>
    <m/>
    <m/>
    <m/>
    <m/>
    <m/>
    <x v="0"/>
    <m/>
    <m/>
    <x v="0"/>
    <m/>
    <m/>
    <x v="0"/>
    <m/>
    <m/>
    <x v="0"/>
    <m/>
    <m/>
    <x v="0"/>
    <m/>
    <m/>
    <x v="0"/>
    <m/>
    <m/>
    <x v="0"/>
    <m/>
    <m/>
    <x v="0"/>
    <m/>
    <m/>
    <x v="0"/>
    <m/>
    <m/>
    <x v="0"/>
    <m/>
    <m/>
    <x v="0"/>
  </r>
  <r>
    <x v="3"/>
    <x v="3"/>
    <n v="480"/>
    <d v="2024-09-17T00:00:00"/>
    <x v="0"/>
    <n v="9"/>
    <n v="830"/>
    <n v="848"/>
    <d v="2024-09-17T00:00:00"/>
    <n v="764.55"/>
    <d v="2024-09-18T00:00:00"/>
    <m/>
    <m/>
    <m/>
    <x v="1"/>
    <d v="2024-09-17T00:00:00"/>
    <n v="848"/>
    <x v="1"/>
    <d v="2024-09-17T00:00:00"/>
    <n v="848"/>
    <x v="1"/>
    <d v="2024-09-17T00:00:00"/>
    <n v="848"/>
    <x v="1"/>
    <d v="2024-09-17T00:00:00"/>
    <n v="848"/>
    <x v="1"/>
    <d v="2024-09-17T00:00:00"/>
    <n v="848"/>
    <x v="1"/>
    <d v="2024-09-17T00:00:00"/>
    <n v="848"/>
    <x v="1"/>
    <d v="2024-09-17T00:00:00"/>
    <n v="848"/>
    <x v="0"/>
    <m/>
    <m/>
    <x v="0"/>
    <m/>
    <m/>
    <x v="0"/>
    <m/>
    <m/>
    <x v="1"/>
  </r>
  <r>
    <x v="4"/>
    <x v="4"/>
    <n v="70"/>
    <d v="2024-09-16T00:00:00"/>
    <x v="0"/>
    <n v="9"/>
    <n v="150"/>
    <n v="188.5"/>
    <d v="2024-09-18T00:00:00"/>
    <n v="146"/>
    <d v="2024-09-16T00:00:00"/>
    <m/>
    <m/>
    <m/>
    <x v="1"/>
    <d v="2024-09-16T00:00:00"/>
    <n v="165"/>
    <x v="1"/>
    <d v="2024-09-16T00:00:00"/>
    <n v="165"/>
    <x v="1"/>
    <d v="2024-09-16T00:00:00"/>
    <n v="165"/>
    <x v="1"/>
    <d v="2024-09-16T00:00:00"/>
    <n v="165"/>
    <x v="1"/>
    <d v="2024-09-16T00:00:00"/>
    <n v="165"/>
    <x v="1"/>
    <d v="2024-09-16T00:00:00"/>
    <n v="165"/>
    <x v="1"/>
    <d v="2024-09-16T00:00:00"/>
    <n v="165"/>
    <x v="1"/>
    <d v="2024-09-16T00:00:00"/>
    <n v="165"/>
    <x v="1"/>
    <d v="2024-09-16T00:00:00"/>
    <n v="165"/>
    <x v="1"/>
    <d v="2024-09-16T00:00:00"/>
    <n v="165"/>
    <x v="1"/>
  </r>
  <r>
    <x v="5"/>
    <x v="5"/>
    <n v="240"/>
    <d v="2024-09-16T00:00:00"/>
    <x v="0"/>
    <n v="9"/>
    <n v="240"/>
    <n v="270.89"/>
    <d v="2024-09-16T00:00:00"/>
    <n v="231.96"/>
    <d v="2024-09-16T00:00:00"/>
    <m/>
    <m/>
    <m/>
    <x v="1"/>
    <d v="2024-09-16T00:00:00"/>
    <n v="270.89"/>
    <x v="0"/>
    <m/>
    <m/>
    <x v="0"/>
    <m/>
    <m/>
    <x v="0"/>
    <m/>
    <m/>
    <x v="0"/>
    <m/>
    <m/>
    <x v="0"/>
    <m/>
    <m/>
    <x v="0"/>
    <m/>
    <m/>
    <x v="0"/>
    <m/>
    <m/>
    <x v="0"/>
    <m/>
    <m/>
    <x v="0"/>
    <m/>
    <m/>
    <x v="1"/>
  </r>
  <r>
    <x v="6"/>
    <x v="6"/>
    <n v="389"/>
    <d v="2024-09-06T00:00:00"/>
    <x v="0"/>
    <n v="9"/>
    <n v="389"/>
    <n v="431.15"/>
    <d v="2024-09-06T00:00:00"/>
    <n v="340.6"/>
    <d v="2024-09-16T00:00:00"/>
    <m/>
    <m/>
    <m/>
    <x v="1"/>
    <d v="2024-09-06T00:00:00"/>
    <n v="431.15"/>
    <x v="0"/>
    <m/>
    <m/>
    <x v="0"/>
    <m/>
    <m/>
    <x v="0"/>
    <m/>
    <m/>
    <x v="0"/>
    <m/>
    <m/>
    <x v="0"/>
    <m/>
    <m/>
    <x v="0"/>
    <m/>
    <m/>
    <x v="0"/>
    <m/>
    <m/>
    <x v="0"/>
    <m/>
    <m/>
    <x v="0"/>
    <m/>
    <m/>
    <x v="1"/>
  </r>
  <r>
    <x v="7"/>
    <x v="7"/>
    <n v="334"/>
    <d v="2024-09-04T00:00:00"/>
    <x v="0"/>
    <n v="9"/>
    <n v="390"/>
    <n v="593.70000000000005"/>
    <d v="2024-09-17T00:00:00"/>
    <n v="380"/>
    <d v="2024-09-04T00:00:00"/>
    <m/>
    <m/>
    <m/>
    <x v="1"/>
    <d v="2024-09-04T00:00:00"/>
    <n v="456"/>
    <x v="1"/>
    <d v="2024-09-04T00:00:00"/>
    <n v="456"/>
    <x v="1"/>
    <d v="2024-09-04T00:00:00"/>
    <n v="456"/>
    <x v="2"/>
    <d v="2024-09-05T00:00:00"/>
    <n v="489"/>
    <x v="2"/>
    <d v="2024-09-10T00:00:00"/>
    <n v="524.65"/>
    <x v="2"/>
    <d v="2024-09-17T00:00:00"/>
    <n v="593.70000000000005"/>
    <x v="2"/>
    <d v="2024-09-17T00:00:00"/>
    <n v="593.70000000000005"/>
    <x v="0"/>
    <m/>
    <m/>
    <x v="0"/>
    <m/>
    <m/>
    <x v="0"/>
    <m/>
    <m/>
    <x v="1"/>
  </r>
  <r>
    <x v="8"/>
    <x v="8"/>
    <n v="450"/>
    <d v="2024-09-03T00:00:00"/>
    <x v="0"/>
    <n v="9"/>
    <n v="990"/>
    <n v="1267.95"/>
    <d v="2024-09-10T00:00:00"/>
    <n v="802.1"/>
    <d v="2024-09-03T00:00:00"/>
    <m/>
    <m/>
    <m/>
    <x v="1"/>
    <d v="2024-09-03T00:00:00"/>
    <n v="994.55"/>
    <x v="1"/>
    <d v="2024-09-03T00:00:00"/>
    <n v="994.55"/>
    <x v="1"/>
    <d v="2024-09-03T00:00:00"/>
    <n v="994.55"/>
    <x v="1"/>
    <d v="2024-09-03T00:00:00"/>
    <n v="994.55"/>
    <x v="1"/>
    <d v="2024-09-03T00:00:00"/>
    <n v="994.55"/>
    <x v="1"/>
    <d v="2024-09-03T00:00:00"/>
    <n v="994.55"/>
    <x v="1"/>
    <d v="2024-09-03T00:00:00"/>
    <n v="994.55"/>
    <x v="1"/>
    <d v="2024-09-03T00:00:00"/>
    <n v="994.55"/>
    <x v="1"/>
    <d v="2024-09-03T00:00:00"/>
    <n v="994.55"/>
    <x v="1"/>
    <d v="2024-09-03T00:00:00"/>
    <n v="994.55"/>
    <x v="1"/>
  </r>
  <r>
    <x v="9"/>
    <x v="9"/>
    <n v="900"/>
    <d v="2024-08-26T00:00:00"/>
    <x v="0"/>
    <n v="8"/>
    <n v="1299"/>
    <n v="1338.15"/>
    <d v="2024-09-11T00:00:00"/>
    <n v="1110.1500000000001"/>
    <d v="2024-09-04T00:00:00"/>
    <m/>
    <m/>
    <m/>
    <x v="1"/>
    <d v="2024-08-26T00:00:00"/>
    <n v="1314.8"/>
    <x v="1"/>
    <d v="2024-08-26T00:00:00"/>
    <n v="1314.8"/>
    <x v="1"/>
    <d v="2024-08-26T00:00:00"/>
    <n v="1314.8"/>
    <x v="1"/>
    <d v="2024-08-26T00:00:00"/>
    <n v="1314.8"/>
    <x v="0"/>
    <m/>
    <m/>
    <x v="0"/>
    <m/>
    <m/>
    <x v="0"/>
    <m/>
    <m/>
    <x v="0"/>
    <m/>
    <m/>
    <x v="0"/>
    <m/>
    <m/>
    <x v="0"/>
    <m/>
    <m/>
    <x v="1"/>
  </r>
  <r>
    <x v="10"/>
    <x v="10"/>
    <n v="108"/>
    <d v="2024-08-13T00:00:00"/>
    <x v="0"/>
    <n v="8"/>
    <n v="235"/>
    <n v="263.99"/>
    <d v="2024-08-20T00:00:00"/>
    <n v="187.1"/>
    <d v="2024-08-19T00:00:00"/>
    <m/>
    <m/>
    <m/>
    <x v="1"/>
    <d v="2024-08-13T00:00:00"/>
    <n v="255.99"/>
    <x v="1"/>
    <d v="2024-08-13T00:00:00"/>
    <n v="255.99"/>
    <x v="1"/>
    <d v="2024-08-13T00:00:00"/>
    <n v="255.99"/>
    <x v="1"/>
    <d v="2024-08-13T00:00:00"/>
    <n v="255.99"/>
    <x v="1"/>
    <d v="2024-08-13T00:00:00"/>
    <n v="255.99"/>
    <x v="1"/>
    <d v="2024-08-13T00:00:00"/>
    <n v="255.99"/>
    <x v="1"/>
    <d v="2024-08-13T00:00:00"/>
    <n v="255.99"/>
    <x v="1"/>
    <d v="2024-08-13T00:00:00"/>
    <n v="255.99"/>
    <x v="1"/>
    <d v="2024-08-13T00:00:00"/>
    <n v="255.99"/>
    <x v="1"/>
    <d v="2024-08-13T00:00:00"/>
    <n v="255.99"/>
    <x v="1"/>
  </r>
  <r>
    <x v="11"/>
    <x v="11"/>
    <n v="465"/>
    <d v="2024-08-13T00:00:00"/>
    <x v="0"/>
    <n v="8"/>
    <n v="651"/>
    <n v="707.7"/>
    <d v="2024-08-13T00:00:00"/>
    <n v="587.6"/>
    <d v="2024-09-09T00:00:00"/>
    <m/>
    <m/>
    <m/>
    <x v="1"/>
    <d v="2024-08-13T00:00:00"/>
    <n v="707.7"/>
    <x v="1"/>
    <d v="2024-08-13T00:00:00"/>
    <n v="707.7"/>
    <x v="1"/>
    <d v="2024-08-13T00:00:00"/>
    <n v="707.7"/>
    <x v="1"/>
    <d v="2024-08-13T00:00:00"/>
    <n v="707.7"/>
    <x v="1"/>
    <d v="2024-08-13T00:00:00"/>
    <n v="707.7"/>
    <x v="0"/>
    <m/>
    <m/>
    <x v="0"/>
    <m/>
    <m/>
    <x v="0"/>
    <m/>
    <m/>
    <x v="0"/>
    <m/>
    <m/>
    <x v="0"/>
    <m/>
    <m/>
    <x v="1"/>
  </r>
  <r>
    <x v="12"/>
    <x v="12"/>
    <n v="76"/>
    <d v="2024-08-09T00:00:00"/>
    <x v="0"/>
    <n v="8"/>
    <n v="76"/>
    <n v="157.4"/>
    <d v="2024-08-20T00:00:00"/>
    <n v="76"/>
    <d v="2024-08-09T00:00:00"/>
    <m/>
    <m/>
    <m/>
    <x v="1"/>
    <d v="2024-08-09T00:00:00"/>
    <n v="91.2"/>
    <x v="1"/>
    <d v="2024-08-09T00:00:00"/>
    <n v="91.2"/>
    <x v="2"/>
    <d v="2024-08-12T00:00:00"/>
    <n v="109.44"/>
    <x v="3"/>
    <d v="2024-08-12T00:00:00"/>
    <n v="109.44"/>
    <x v="3"/>
    <d v="2024-08-13T00:00:00"/>
    <n v="129.4"/>
    <x v="3"/>
    <d v="2024-08-13T00:00:00"/>
    <n v="129.4"/>
    <x v="3"/>
    <d v="2024-08-13T00:00:00"/>
    <n v="129.4"/>
    <x v="2"/>
    <d v="2024-08-19T00:00:00"/>
    <n v="146.38"/>
    <x v="2"/>
    <d v="2024-08-19T00:00:00"/>
    <n v="146.38"/>
    <x v="2"/>
    <d v="2024-08-20T00:00:00"/>
    <n v="157.4"/>
    <x v="1"/>
  </r>
  <r>
    <x v="13"/>
    <x v="13"/>
    <n v="401"/>
    <d v="2024-08-08T00:00:00"/>
    <x v="0"/>
    <n v="8"/>
    <n v="419"/>
    <n v="424.8"/>
    <d v="2024-08-08T00:00:00"/>
    <n v="367.9"/>
    <d v="2024-09-10T00:00:00"/>
    <m/>
    <m/>
    <m/>
    <x v="0"/>
    <m/>
    <m/>
    <x v="0"/>
    <m/>
    <m/>
    <x v="0"/>
    <m/>
    <m/>
    <x v="0"/>
    <m/>
    <m/>
    <x v="0"/>
    <m/>
    <m/>
    <x v="0"/>
    <m/>
    <m/>
    <x v="0"/>
    <m/>
    <m/>
    <x v="0"/>
    <m/>
    <m/>
    <x v="0"/>
    <m/>
    <m/>
    <x v="0"/>
    <m/>
    <m/>
    <x v="1"/>
  </r>
  <r>
    <x v="14"/>
    <x v="14"/>
    <n v="679"/>
    <d v="2024-08-06T00:00:00"/>
    <x v="0"/>
    <n v="8"/>
    <n v="725"/>
    <n v="1175.9000000000001"/>
    <d v="2024-08-20T00:00:00"/>
    <n v="725"/>
    <d v="2024-08-06T00:00:00"/>
    <m/>
    <m/>
    <m/>
    <x v="1"/>
    <d v="2024-08-06T00:00:00"/>
    <n v="797.5"/>
    <x v="2"/>
    <d v="2024-08-07T00:00:00"/>
    <n v="824"/>
    <x v="3"/>
    <d v="2024-08-12T00:00:00"/>
    <n v="883.45"/>
    <x v="4"/>
    <d v="2024-08-13T00:00:00"/>
    <n v="957.9"/>
    <x v="4"/>
    <d v="2024-08-14T00:00:00"/>
    <n v="1028.75"/>
    <x v="2"/>
    <d v="2024-08-19T00:00:00"/>
    <n v="1119.95"/>
    <x v="4"/>
    <d v="2024-08-20T00:00:00"/>
    <n v="1175.9000000000001"/>
    <x v="0"/>
    <m/>
    <m/>
    <x v="0"/>
    <m/>
    <m/>
    <x v="0"/>
    <m/>
    <m/>
    <x v="1"/>
  </r>
  <r>
    <x v="15"/>
    <x v="15"/>
    <n v="95"/>
    <d v="2024-07-26T00:00:00"/>
    <x v="0"/>
    <n v="7"/>
    <n v="109"/>
    <n v="158.80000000000001"/>
    <d v="2024-09-12T00:00:00"/>
    <n v="107.1"/>
    <d v="2024-07-26T00:00:00"/>
    <m/>
    <m/>
    <m/>
    <x v="1"/>
    <d v="2024-07-26T00:00:00"/>
    <n v="128.79"/>
    <x v="1"/>
    <d v="2024-07-26T00:00:00"/>
    <n v="128.79"/>
    <x v="1"/>
    <d v="2024-07-26T00:00:00"/>
    <n v="128.79"/>
    <x v="5"/>
    <d v="2024-08-20T00:00:00"/>
    <n v="134.1"/>
    <x v="5"/>
    <d v="2024-08-21T00:00:00"/>
    <n v="143"/>
    <x v="4"/>
    <d v="2024-09-11T00:00:00"/>
    <n v="154.28"/>
    <x v="0"/>
    <m/>
    <m/>
    <x v="0"/>
    <m/>
    <m/>
    <x v="0"/>
    <m/>
    <m/>
    <x v="0"/>
    <m/>
    <m/>
    <x v="1"/>
  </r>
  <r>
    <x v="16"/>
    <x v="16"/>
    <n v="1008"/>
    <d v="2024-07-10T00:00:00"/>
    <x v="0"/>
    <n v="7"/>
    <n v="1325.05"/>
    <n v="1580"/>
    <d v="2024-09-18T00:00:00"/>
    <n v="1225"/>
    <d v="2024-08-13T00:00:00"/>
    <m/>
    <m/>
    <m/>
    <x v="1"/>
    <d v="2024-07-10T00:00:00"/>
    <n v="1385"/>
    <x v="1"/>
    <d v="2024-07-10T00:00:00"/>
    <n v="1385"/>
    <x v="1"/>
    <d v="2024-07-10T00:00:00"/>
    <n v="1385"/>
    <x v="6"/>
    <d v="2024-08-23T00:00:00"/>
    <n v="1414"/>
    <x v="6"/>
    <d v="2024-09-17T00:00:00"/>
    <n v="1520"/>
    <x v="0"/>
    <m/>
    <m/>
    <x v="0"/>
    <m/>
    <m/>
    <x v="0"/>
    <m/>
    <m/>
    <x v="0"/>
    <m/>
    <m/>
    <x v="0"/>
    <m/>
    <m/>
    <x v="1"/>
  </r>
  <r>
    <x v="17"/>
    <x v="17"/>
    <n v="256"/>
    <d v="2024-07-10T00:00:00"/>
    <x v="0"/>
    <n v="7"/>
    <n v="356"/>
    <n v="460.9"/>
    <d v="2024-09-11T00:00:00"/>
    <n v="325.10000000000002"/>
    <d v="2024-07-23T00:00:00"/>
    <m/>
    <m/>
    <m/>
    <x v="1"/>
    <d v="2024-07-10T00:00:00"/>
    <n v="372"/>
    <x v="1"/>
    <d v="2024-07-10T00:00:00"/>
    <n v="372"/>
    <x v="1"/>
    <d v="2024-07-10T00:00:00"/>
    <n v="372"/>
    <x v="1"/>
    <d v="2024-07-10T00:00:00"/>
    <n v="372"/>
    <x v="7"/>
    <d v="2024-08-01T00:00:00"/>
    <n v="386"/>
    <x v="5"/>
    <d v="2024-08-29T00:00:00"/>
    <n v="410.2"/>
    <x v="5"/>
    <d v="2024-09-03T00:00:00"/>
    <n v="443.9"/>
    <x v="3"/>
    <d v="2024-09-11T00:00:00"/>
    <n v="460.9"/>
    <x v="0"/>
    <m/>
    <m/>
    <x v="0"/>
    <m/>
    <m/>
    <x v="1"/>
  </r>
  <r>
    <x v="18"/>
    <x v="18"/>
    <n v="281"/>
    <d v="2024-07-02T00:00:00"/>
    <x v="0"/>
    <n v="7"/>
    <n v="320"/>
    <n v="372.4"/>
    <d v="2024-09-16T00:00:00"/>
    <n v="282.05"/>
    <d v="2024-07-23T00:00:00"/>
    <m/>
    <m/>
    <m/>
    <x v="1"/>
    <d v="2024-07-02T00:00:00"/>
    <n v="324.8"/>
    <x v="2"/>
    <d v="2024-07-03T00:00:00"/>
    <n v="339.3"/>
    <x v="4"/>
    <d v="2024-09-02T00:00:00"/>
    <n v="371.85"/>
    <x v="0"/>
    <m/>
    <m/>
    <x v="0"/>
    <m/>
    <m/>
    <x v="0"/>
    <m/>
    <m/>
    <x v="0"/>
    <m/>
    <m/>
    <x v="0"/>
    <m/>
    <m/>
    <x v="0"/>
    <m/>
    <m/>
    <x v="0"/>
    <m/>
    <m/>
    <x v="1"/>
  </r>
  <r>
    <x v="19"/>
    <x v="19"/>
    <n v="369"/>
    <d v="2024-06-28T00:00:00"/>
    <x v="0"/>
    <n v="6"/>
    <n v="494.95"/>
    <n v="627.5"/>
    <d v="2024-07-12T00:00:00"/>
    <n v="470.2"/>
    <d v="2024-06-28T00:00:00"/>
    <m/>
    <m/>
    <m/>
    <x v="1"/>
    <d v="2024-06-28T00:00:00"/>
    <n v="509.4"/>
    <x v="1"/>
    <d v="2024-06-28T00:00:00"/>
    <n v="509.4"/>
    <x v="1"/>
    <d v="2024-06-28T00:00:00"/>
    <n v="509.4"/>
    <x v="3"/>
    <d v="2024-07-01T00:00:00"/>
    <n v="518.70000000000005"/>
    <x v="8"/>
    <d v="2024-07-11T00:00:00"/>
    <n v="603"/>
    <x v="2"/>
    <d v="2024-07-11T00:00:00"/>
    <n v="603"/>
    <x v="4"/>
    <d v="2024-07-12T00:00:00"/>
    <n v="627.5"/>
    <x v="0"/>
    <m/>
    <m/>
    <x v="0"/>
    <m/>
    <m/>
    <x v="0"/>
    <m/>
    <m/>
    <x v="1"/>
  </r>
  <r>
    <x v="20"/>
    <x v="20"/>
    <n v="203"/>
    <d v="2024-06-26T00:00:00"/>
    <x v="0"/>
    <n v="6"/>
    <n v="339"/>
    <n v="400"/>
    <d v="2024-07-05T00:00:00"/>
    <n v="310"/>
    <d v="2024-06-26T00:00:00"/>
    <m/>
    <m/>
    <m/>
    <x v="1"/>
    <d v="2024-06-26T00:00:00"/>
    <n v="365.7"/>
    <x v="1"/>
    <d v="2024-06-26T00:00:00"/>
    <n v="365.7"/>
    <x v="1"/>
    <d v="2024-06-26T00:00:00"/>
    <n v="365.7"/>
    <x v="1"/>
    <d v="2024-06-26T00:00:00"/>
    <n v="365.7"/>
    <x v="1"/>
    <d v="2024-06-26T00:00:00"/>
    <n v="365.7"/>
    <x v="1"/>
    <d v="2024-06-26T00:00:00"/>
    <n v="365.7"/>
    <x v="1"/>
    <d v="2024-06-26T00:00:00"/>
    <n v="365.7"/>
    <x v="1"/>
    <d v="2024-06-26T00:00:00"/>
    <n v="365.7"/>
    <x v="3"/>
    <d v="2024-07-05T00:00:00"/>
    <n v="400"/>
    <x v="0"/>
    <m/>
    <m/>
    <x v="1"/>
  </r>
  <r>
    <x v="21"/>
    <x v="21"/>
    <n v="93"/>
    <d v="2024-06-18T00:00:00"/>
    <x v="0"/>
    <n v="6"/>
    <n v="138.1"/>
    <n v="197.5"/>
    <d v="2024-06-19T00:00:00"/>
    <n v="135"/>
    <d v="2024-06-18T00:00:00"/>
    <m/>
    <m/>
    <m/>
    <x v="1"/>
    <d v="2024-06-18T00:00:00"/>
    <n v="165.72"/>
    <x v="1"/>
    <d v="2024-06-18T00:00:00"/>
    <n v="165.72"/>
    <x v="1"/>
    <d v="2024-06-18T00:00:00"/>
    <n v="165.72"/>
    <x v="1"/>
    <d v="2024-06-18T00:00:00"/>
    <n v="165.72"/>
    <x v="1"/>
    <d v="2024-06-18T00:00:00"/>
    <n v="165.72"/>
    <x v="1"/>
    <d v="2024-06-18T00:00:00"/>
    <n v="165.72"/>
    <x v="1"/>
    <d v="2024-06-18T00:00:00"/>
    <n v="165.72"/>
    <x v="4"/>
    <d v="2024-06-19T00:00:00"/>
    <n v="197.5"/>
    <x v="4"/>
    <d v="2024-06-19T00:00:00"/>
    <n v="197.5"/>
    <x v="3"/>
    <d v="2024-06-19T00:00:00"/>
    <n v="197.5"/>
    <x v="1"/>
  </r>
  <r>
    <x v="22"/>
    <x v="22"/>
    <n v="136"/>
    <d v="2024-06-10T00:00:00"/>
    <x v="0"/>
    <n v="6"/>
    <m/>
    <m/>
    <m/>
    <m/>
    <m/>
    <m/>
    <m/>
    <m/>
    <x v="0"/>
    <m/>
    <m/>
    <x v="0"/>
    <m/>
    <m/>
    <x v="0"/>
    <m/>
    <m/>
    <x v="0"/>
    <m/>
    <m/>
    <x v="0"/>
    <m/>
    <m/>
    <x v="0"/>
    <m/>
    <m/>
    <x v="0"/>
    <m/>
    <m/>
    <x v="0"/>
    <m/>
    <m/>
    <x v="0"/>
    <m/>
    <m/>
    <x v="0"/>
    <m/>
    <m/>
    <x v="2"/>
  </r>
  <r>
    <x v="23"/>
    <x v="23"/>
    <n v="383"/>
    <d v="2024-05-30T00:00:00"/>
    <x v="0"/>
    <n v="5"/>
    <n v="435"/>
    <n v="946"/>
    <d v="2024-08-22T00:00:00"/>
    <n v="371.4"/>
    <d v="2024-06-04T00:00:00"/>
    <m/>
    <m/>
    <m/>
    <x v="1"/>
    <d v="2024-05-30T00:00:00"/>
    <n v="451.45"/>
    <x v="3"/>
    <d v="2024-06-07T00:00:00"/>
    <n v="468.8"/>
    <x v="5"/>
    <d v="2024-06-19T00:00:00"/>
    <n v="507.25"/>
    <x v="7"/>
    <d v="2024-06-20T00:00:00"/>
    <n v="544"/>
    <x v="9"/>
    <d v="2024-06-26T00:00:00"/>
    <n v="578.95000000000005"/>
    <x v="6"/>
    <d v="2024-07-10T00:00:00"/>
    <n v="613.45000000000005"/>
    <x v="6"/>
    <d v="2024-07-18T00:00:00"/>
    <n v="757.85"/>
    <x v="5"/>
    <d v="2024-07-18T00:00:00"/>
    <n v="757.85"/>
    <x v="5"/>
    <d v="2024-07-18T00:00:00"/>
    <n v="757.85"/>
    <x v="4"/>
    <d v="2024-08-20T00:00:00"/>
    <n v="856"/>
    <x v="1"/>
  </r>
  <r>
    <x v="24"/>
    <x v="24"/>
    <n v="272"/>
    <d v="2024-05-23T00:00:00"/>
    <x v="0"/>
    <n v="5"/>
    <n v="286"/>
    <n v="407.4"/>
    <d v="2024-09-04T00:00:00"/>
    <n v="278.55"/>
    <d v="2024-06-04T00:00:00"/>
    <m/>
    <m/>
    <m/>
    <x v="1"/>
    <d v="2024-05-23T00:00:00"/>
    <n v="314"/>
    <x v="4"/>
    <d v="2024-06-06T00:00:00"/>
    <n v="335"/>
    <x v="6"/>
    <d v="2024-06-07T00:00:00"/>
    <n v="363.9"/>
    <x v="8"/>
    <d v="2024-08-21T00:00:00"/>
    <n v="383.4"/>
    <x v="0"/>
    <m/>
    <m/>
    <x v="0"/>
    <m/>
    <m/>
    <x v="0"/>
    <m/>
    <m/>
    <x v="0"/>
    <m/>
    <m/>
    <x v="0"/>
    <m/>
    <m/>
    <x v="0"/>
    <m/>
    <m/>
    <x v="1"/>
  </r>
  <r>
    <x v="25"/>
    <x v="25"/>
    <n v="315"/>
    <d v="2024-05-15T00:00:00"/>
    <x v="0"/>
    <n v="5"/>
    <n v="315"/>
    <n v="486.95"/>
    <d v="2024-07-23T00:00:00"/>
    <n v="292"/>
    <d v="2024-05-15T00:00:00"/>
    <m/>
    <m/>
    <m/>
    <x v="2"/>
    <d v="2024-05-16T00:00:00"/>
    <n v="362.35"/>
    <x v="5"/>
    <d v="2024-06-10T00:00:00"/>
    <n v="398"/>
    <x v="7"/>
    <d v="2024-06-14T00:00:00"/>
    <n v="431.85"/>
    <x v="9"/>
    <d v="2024-07-03T00:00:00"/>
    <n v="445.95"/>
    <x v="10"/>
    <d v="2024-07-18T00:00:00"/>
    <n v="484"/>
    <x v="0"/>
    <m/>
    <m/>
    <x v="0"/>
    <m/>
    <m/>
    <x v="0"/>
    <m/>
    <m/>
    <x v="0"/>
    <m/>
    <m/>
    <x v="0"/>
    <m/>
    <m/>
    <x v="1"/>
  </r>
  <r>
    <x v="26"/>
    <x v="26"/>
    <n v="920"/>
    <d v="2024-05-15T00:00:00"/>
    <x v="0"/>
    <n v="5"/>
    <n v="1426"/>
    <n v="2001"/>
    <d v="2024-09-04T00:00:00"/>
    <n v="1231.6500000000001"/>
    <d v="2024-06-04T00:00:00"/>
    <m/>
    <m/>
    <m/>
    <x v="1"/>
    <d v="2024-05-15T00:00:00"/>
    <n v="1455.95"/>
    <x v="1"/>
    <d v="2024-05-15T00:00:00"/>
    <n v="1455.95"/>
    <x v="1"/>
    <d v="2024-05-15T00:00:00"/>
    <n v="1455.95"/>
    <x v="1"/>
    <d v="2024-05-15T00:00:00"/>
    <n v="1455.95"/>
    <x v="1"/>
    <d v="2024-05-15T00:00:00"/>
    <n v="1455.95"/>
    <x v="7"/>
    <d v="2024-05-16T00:00:00"/>
    <n v="1473"/>
    <x v="7"/>
    <d v="2024-06-07T00:00:00"/>
    <n v="1574.2"/>
    <x v="6"/>
    <d v="2024-06-24T00:00:00"/>
    <n v="1764.3"/>
    <x v="6"/>
    <d v="2024-06-24T00:00:00"/>
    <n v="1764.3"/>
    <x v="5"/>
    <d v="2024-06-25T00:00:00"/>
    <n v="1907.45"/>
    <x v="1"/>
  </r>
  <r>
    <x v="27"/>
    <x v="27"/>
    <n v="452"/>
    <d v="2024-05-13T00:00:00"/>
    <x v="0"/>
    <n v="5"/>
    <n v="655"/>
    <n v="726.5"/>
    <d v="2024-09-13T00:00:00"/>
    <n v="470.1"/>
    <d v="2024-06-04T00:00:00"/>
    <m/>
    <m/>
    <m/>
    <x v="1"/>
    <d v="2024-05-13T00:00:00"/>
    <n v="660"/>
    <x v="1"/>
    <d v="2024-05-13T00:00:00"/>
    <n v="660"/>
    <x v="1"/>
    <d v="2024-05-13T00:00:00"/>
    <n v="660"/>
    <x v="1"/>
    <d v="2024-05-13T00:00:00"/>
    <n v="660"/>
    <x v="11"/>
    <d v="2024-09-06T00:00:00"/>
    <n v="689.95"/>
    <x v="8"/>
    <d v="2024-09-13T00:00:00"/>
    <n v="726.5"/>
    <x v="0"/>
    <m/>
    <m/>
    <x v="0"/>
    <m/>
    <m/>
    <x v="0"/>
    <m/>
    <m/>
    <x v="0"/>
    <m/>
    <m/>
    <x v="1"/>
  </r>
  <r>
    <x v="28"/>
    <x v="28"/>
    <n v="415"/>
    <d v="2024-04-30T00:00:00"/>
    <x v="0"/>
    <n v="4"/>
    <n v="621"/>
    <n v="897.25"/>
    <d v="2024-06-24T00:00:00"/>
    <n v="550"/>
    <d v="2024-06-04T00:00:00"/>
    <m/>
    <m/>
    <m/>
    <x v="1"/>
    <d v="2024-04-30T00:00:00"/>
    <n v="712"/>
    <x v="1"/>
    <d v="2024-04-30T00:00:00"/>
    <n v="712"/>
    <x v="1"/>
    <d v="2024-04-30T00:00:00"/>
    <n v="712"/>
    <x v="1"/>
    <d v="2024-04-30T00:00:00"/>
    <n v="712"/>
    <x v="1"/>
    <d v="2024-04-30T00:00:00"/>
    <n v="712"/>
    <x v="1"/>
    <d v="2024-04-30T00:00:00"/>
    <n v="712"/>
    <x v="1"/>
    <d v="2024-04-30T00:00:00"/>
    <n v="712"/>
    <x v="5"/>
    <d v="2024-06-18T00:00:00"/>
    <n v="816"/>
    <x v="5"/>
    <d v="2024-06-18T00:00:00"/>
    <n v="816"/>
    <x v="6"/>
    <d v="2024-06-19T00:00:00"/>
    <n v="863.95"/>
    <x v="1"/>
  </r>
  <r>
    <x v="29"/>
    <x v="29"/>
    <n v="570"/>
    <d v="2024-04-12T00:00:00"/>
    <x v="0"/>
    <n v="4"/>
    <n v="755"/>
    <n v="1453.95"/>
    <d v="2024-09-13T00:00:00"/>
    <n v="755"/>
    <d v="2024-04-12T00:00:00"/>
    <m/>
    <m/>
    <m/>
    <x v="1"/>
    <d v="2024-04-12T00:00:00"/>
    <n v="880"/>
    <x v="1"/>
    <d v="2024-04-12T00:00:00"/>
    <n v="880"/>
    <x v="1"/>
    <d v="2024-04-12T00:00:00"/>
    <n v="880"/>
    <x v="1"/>
    <d v="2024-04-12T00:00:00"/>
    <n v="880"/>
    <x v="1"/>
    <d v="2024-04-12T00:00:00"/>
    <n v="880"/>
    <x v="3"/>
    <d v="2024-04-16T00:00:00"/>
    <n v="917.7"/>
    <x v="8"/>
    <d v="2024-04-18T00:00:00"/>
    <n v="1015.55"/>
    <x v="7"/>
    <d v="2024-05-23T00:00:00"/>
    <n v="1037.55"/>
    <x v="7"/>
    <d v="2024-06-03T00:00:00"/>
    <n v="1089.95"/>
    <x v="7"/>
    <d v="2024-06-18T00:00:00"/>
    <n v="1174.5"/>
    <x v="1"/>
  </r>
  <r>
    <x v="30"/>
    <x v="30"/>
    <n v="715"/>
    <d v="2024-03-21T00:00:00"/>
    <x v="0"/>
    <n v="3"/>
    <n v="785"/>
    <n v="1021.95"/>
    <d v="2024-04-12T00:00:00"/>
    <n v="627.95000000000005"/>
    <d v="2024-06-04T00:00:00"/>
    <m/>
    <m/>
    <m/>
    <x v="1"/>
    <d v="2024-03-21T00:00:00"/>
    <n v="793.8"/>
    <x v="6"/>
    <d v="2024-04-05T00:00:00"/>
    <n v="867.05"/>
    <x v="8"/>
    <d v="2024-04-12T00:00:00"/>
    <n v="1021.95"/>
    <x v="10"/>
    <d v="2024-04-12T00:00:00"/>
    <n v="1021.95"/>
    <x v="0"/>
    <m/>
    <m/>
    <x v="0"/>
    <m/>
    <m/>
    <x v="0"/>
    <m/>
    <m/>
    <x v="0"/>
    <m/>
    <m/>
    <x v="0"/>
    <m/>
    <m/>
    <x v="0"/>
    <m/>
    <m/>
    <x v="1"/>
  </r>
  <r>
    <x v="31"/>
    <x v="31"/>
    <n v="295"/>
    <d v="2024-03-19T00:00:00"/>
    <x v="0"/>
    <n v="3"/>
    <n v="289.2"/>
    <n v="296.55"/>
    <d v="2024-03-21T00:00:00"/>
    <n v="199"/>
    <d v="2024-06-04T00:00:00"/>
    <m/>
    <m/>
    <m/>
    <x v="0"/>
    <m/>
    <m/>
    <x v="0"/>
    <m/>
    <m/>
    <x v="0"/>
    <m/>
    <m/>
    <x v="0"/>
    <m/>
    <m/>
    <x v="0"/>
    <m/>
    <m/>
    <x v="0"/>
    <m/>
    <m/>
    <x v="0"/>
    <m/>
    <m/>
    <x v="0"/>
    <m/>
    <m/>
    <x v="0"/>
    <m/>
    <m/>
    <x v="0"/>
    <m/>
    <m/>
    <x v="1"/>
  </r>
  <r>
    <x v="32"/>
    <x v="32"/>
    <n v="401"/>
    <d v="2024-03-14T00:00:00"/>
    <x v="0"/>
    <n v="3"/>
    <n v="351"/>
    <n v="392.85"/>
    <d v="2024-03-15T00:00:00"/>
    <n v="301.05"/>
    <d v="2024-06-04T00:00:00"/>
    <m/>
    <m/>
    <m/>
    <x v="0"/>
    <m/>
    <m/>
    <x v="0"/>
    <m/>
    <m/>
    <x v="0"/>
    <m/>
    <m/>
    <x v="0"/>
    <m/>
    <m/>
    <x v="0"/>
    <m/>
    <m/>
    <x v="0"/>
    <m/>
    <m/>
    <x v="0"/>
    <m/>
    <m/>
    <x v="0"/>
    <m/>
    <m/>
    <x v="0"/>
    <m/>
    <m/>
    <x v="0"/>
    <m/>
    <m/>
    <x v="1"/>
  </r>
  <r>
    <x v="33"/>
    <x v="33"/>
    <n v="221"/>
    <d v="2024-03-13T00:00:00"/>
    <x v="0"/>
    <n v="3"/>
    <n v="209"/>
    <n v="464"/>
    <d v="2024-09-17T00:00:00"/>
    <n v="171.35"/>
    <d v="2024-03-28T00:00:00"/>
    <m/>
    <m/>
    <m/>
    <x v="3"/>
    <d v="2024-04-24T00:00:00"/>
    <n v="267.85000000000002"/>
    <x v="7"/>
    <d v="2024-04-24T00:00:00"/>
    <n v="267.85000000000002"/>
    <x v="9"/>
    <d v="2024-07-31T00:00:00"/>
    <n v="304.14999999999998"/>
    <x v="11"/>
    <d v="2024-08-09T00:00:00"/>
    <n v="347.95"/>
    <x v="12"/>
    <d v="2024-08-09T00:00:00"/>
    <n v="347.95"/>
    <x v="9"/>
    <d v="2024-08-20T00:00:00"/>
    <n v="397.1"/>
    <x v="9"/>
    <d v="2024-08-20T00:00:00"/>
    <n v="397.1"/>
    <x v="8"/>
    <d v="2024-08-21T00:00:00"/>
    <n v="429"/>
    <x v="8"/>
    <d v="2024-08-21T00:00:00"/>
    <n v="429"/>
    <x v="8"/>
    <d v="2024-09-04T00:00:00"/>
    <n v="459.5"/>
    <x v="1"/>
  </r>
  <r>
    <x v="34"/>
    <x v="34"/>
    <n v="288"/>
    <d v="2024-03-12T00:00:00"/>
    <x v="0"/>
    <n v="3"/>
    <n v="250"/>
    <n v="320.7"/>
    <d v="2024-08-08T00:00:00"/>
    <n v="227.65"/>
    <d v="2024-03-14T00:00:00"/>
    <m/>
    <m/>
    <m/>
    <x v="4"/>
    <d v="2024-07-29T00:00:00"/>
    <n v="317.7"/>
    <x v="0"/>
    <m/>
    <m/>
    <x v="0"/>
    <m/>
    <m/>
    <x v="0"/>
    <m/>
    <m/>
    <x v="0"/>
    <m/>
    <m/>
    <x v="0"/>
    <m/>
    <m/>
    <x v="0"/>
    <m/>
    <m/>
    <x v="0"/>
    <m/>
    <m/>
    <x v="0"/>
    <m/>
    <m/>
    <x v="0"/>
    <m/>
    <m/>
    <x v="1"/>
  </r>
  <r>
    <x v="35"/>
    <x v="35"/>
    <n v="142"/>
    <d v="2024-03-05T00:00:00"/>
    <x v="0"/>
    <n v="3"/>
    <n v="265"/>
    <n v="530"/>
    <d v="2024-07-02T00:00:00"/>
    <n v="169.4"/>
    <d v="2024-03-13T00:00:00"/>
    <m/>
    <m/>
    <m/>
    <x v="1"/>
    <d v="2024-03-05T00:00:00"/>
    <n v="274.5"/>
    <x v="1"/>
    <d v="2024-03-05T00:00:00"/>
    <n v="274.5"/>
    <x v="1"/>
    <d v="2024-03-05T00:00:00"/>
    <n v="274.5"/>
    <x v="1"/>
    <d v="2024-03-05T00:00:00"/>
    <n v="274.5"/>
    <x v="1"/>
    <d v="2024-03-05T00:00:00"/>
    <n v="274.5"/>
    <x v="1"/>
    <d v="2024-03-05T00:00:00"/>
    <n v="274.5"/>
    <x v="1"/>
    <d v="2024-03-05T00:00:00"/>
    <n v="274.5"/>
    <x v="1"/>
    <d v="2024-03-05T00:00:00"/>
    <n v="274.5"/>
    <x v="1"/>
    <d v="2024-03-05T00:00:00"/>
    <n v="274.5"/>
    <x v="9"/>
    <d v="2024-04-18T00:00:00"/>
    <n v="308.64999999999998"/>
    <x v="1"/>
  </r>
  <r>
    <x v="36"/>
    <x v="36"/>
    <n v="186"/>
    <d v="2024-02-29T00:00:00"/>
    <x v="0"/>
    <n v="2"/>
    <n v="215"/>
    <n v="219.9"/>
    <d v="2024-02-29T00:00:00"/>
    <n v="128.69999999999999"/>
    <d v="2024-06-04T00:00:00"/>
    <m/>
    <m/>
    <m/>
    <x v="1"/>
    <d v="2024-02-29T00:00:00"/>
    <n v="219.9"/>
    <x v="0"/>
    <m/>
    <m/>
    <x v="0"/>
    <m/>
    <m/>
    <x v="0"/>
    <m/>
    <m/>
    <x v="0"/>
    <m/>
    <m/>
    <x v="0"/>
    <m/>
    <m/>
    <x v="0"/>
    <m/>
    <m/>
    <x v="0"/>
    <m/>
    <m/>
    <x v="0"/>
    <m/>
    <m/>
    <x v="0"/>
    <m/>
    <m/>
    <x v="1"/>
  </r>
  <r>
    <x v="37"/>
    <x v="37"/>
    <n v="360"/>
    <d v="2024-02-28T00:00:00"/>
    <x v="0"/>
    <n v="2"/>
    <n v="365"/>
    <n v="538.25"/>
    <d v="2024-04-05T00:00:00"/>
    <n v="365"/>
    <d v="2024-02-28T00:00:00"/>
    <m/>
    <m/>
    <m/>
    <x v="1"/>
    <d v="2024-02-28T00:00:00"/>
    <n v="401.5"/>
    <x v="2"/>
    <d v="2024-02-29T00:00:00"/>
    <n v="441.65"/>
    <x v="10"/>
    <d v="2024-03-01T00:00:00"/>
    <n v="482"/>
    <x v="10"/>
    <d v="2024-03-21T00:00:00"/>
    <n v="517"/>
    <x v="0"/>
    <m/>
    <m/>
    <x v="0"/>
    <m/>
    <m/>
    <x v="0"/>
    <m/>
    <m/>
    <x v="0"/>
    <m/>
    <m/>
    <x v="0"/>
    <m/>
    <m/>
    <x v="0"/>
    <m/>
    <m/>
    <x v="1"/>
  </r>
  <r>
    <x v="38"/>
    <x v="38"/>
    <n v="1258"/>
    <d v="2024-02-16T00:00:00"/>
    <x v="0"/>
    <n v="2"/>
    <n v="1228.7"/>
    <n v="1510.9"/>
    <d v="2024-09-11T00:00:00"/>
    <n v="970"/>
    <d v="2024-03-28T00:00:00"/>
    <m/>
    <m/>
    <m/>
    <x v="5"/>
    <d v="2024-09-03T00:00:00"/>
    <n v="1385"/>
    <x v="8"/>
    <d v="2024-09-11T00:00:00"/>
    <n v="1510.9"/>
    <x v="0"/>
    <m/>
    <m/>
    <x v="0"/>
    <m/>
    <m/>
    <x v="0"/>
    <m/>
    <m/>
    <x v="0"/>
    <m/>
    <m/>
    <x v="0"/>
    <m/>
    <m/>
    <x v="0"/>
    <m/>
    <m/>
    <x v="0"/>
    <m/>
    <m/>
    <x v="0"/>
    <m/>
    <m/>
    <x v="1"/>
  </r>
  <r>
    <x v="39"/>
    <x v="39"/>
    <n v="468"/>
    <d v="2024-02-14T00:00:00"/>
    <x v="0"/>
    <n v="2"/>
    <n v="430.25"/>
    <n v="469"/>
    <d v="2024-02-15T00:00:00"/>
    <n v="289.55"/>
    <d v="2024-08-16T00:00:00"/>
    <m/>
    <m/>
    <m/>
    <x v="0"/>
    <m/>
    <m/>
    <x v="0"/>
    <m/>
    <m/>
    <x v="0"/>
    <m/>
    <m/>
    <x v="0"/>
    <m/>
    <m/>
    <x v="0"/>
    <m/>
    <m/>
    <x v="0"/>
    <m/>
    <m/>
    <x v="0"/>
    <m/>
    <m/>
    <x v="0"/>
    <m/>
    <m/>
    <x v="0"/>
    <m/>
    <m/>
    <x v="0"/>
    <m/>
    <m/>
    <x v="1"/>
  </r>
  <r>
    <x v="40"/>
    <x v="40"/>
    <n v="414"/>
    <d v="2024-02-14T00:00:00"/>
    <x v="0"/>
    <n v="2"/>
    <n v="396"/>
    <n v="760.9"/>
    <d v="2024-06-19T00:00:00"/>
    <n v="365"/>
    <d v="2024-02-14T00:00:00"/>
    <m/>
    <m/>
    <m/>
    <x v="6"/>
    <d v="2024-02-21T00:00:00"/>
    <n v="482"/>
    <x v="9"/>
    <d v="2024-04-25T00:00:00"/>
    <n v="497"/>
    <x v="11"/>
    <d v="2024-04-30T00:00:00"/>
    <n v="600.35"/>
    <x v="12"/>
    <d v="2024-04-30T00:00:00"/>
    <n v="600.35"/>
    <x v="13"/>
    <d v="2024-05-02T00:00:00"/>
    <n v="698.75"/>
    <x v="10"/>
    <d v="2024-05-02T00:00:00"/>
    <n v="698.75"/>
    <x v="10"/>
    <d v="2024-06-10T00:00:00"/>
    <n v="740"/>
    <x v="9"/>
    <d v="2024-06-19T00:00:00"/>
    <n v="760.9"/>
    <x v="0"/>
    <m/>
    <m/>
    <x v="0"/>
    <m/>
    <m/>
    <x v="1"/>
  </r>
  <r>
    <x v="41"/>
    <x v="41"/>
    <n v="311"/>
    <d v="2024-02-14T00:00:00"/>
    <x v="0"/>
    <n v="2"/>
    <n v="339.5"/>
    <n v="474.9"/>
    <d v="2024-07-12T00:00:00"/>
    <n v="282.2"/>
    <d v="2024-06-04T00:00:00"/>
    <m/>
    <m/>
    <m/>
    <x v="1"/>
    <d v="2024-02-14T00:00:00"/>
    <n v="342.7"/>
    <x v="10"/>
    <d v="2024-02-26T00:00:00"/>
    <n v="387.4"/>
    <x v="12"/>
    <d v="2024-07-04T00:00:00"/>
    <n v="422.5"/>
    <x v="13"/>
    <d v="2024-07-10T00:00:00"/>
    <n v="449"/>
    <x v="12"/>
    <d v="2024-07-12T00:00:00"/>
    <n v="474.9"/>
    <x v="0"/>
    <m/>
    <m/>
    <x v="0"/>
    <m/>
    <m/>
    <x v="0"/>
    <m/>
    <m/>
    <x v="0"/>
    <m/>
    <m/>
    <x v="0"/>
    <m/>
    <m/>
    <x v="1"/>
  </r>
  <r>
    <x v="42"/>
    <x v="42"/>
    <n v="155"/>
    <d v="2024-02-12T00:00:00"/>
    <x v="0"/>
    <n v="2"/>
    <n v="186"/>
    <n v="235"/>
    <d v="2024-02-23T00:00:00"/>
    <n v="146.5"/>
    <d v="2024-06-04T00:00:00"/>
    <m/>
    <m/>
    <m/>
    <x v="1"/>
    <d v="2024-02-12T00:00:00"/>
    <n v="223.2"/>
    <x v="1"/>
    <d v="2024-02-12T00:00:00"/>
    <n v="223.2"/>
    <x v="1"/>
    <d v="2024-02-12T00:00:00"/>
    <n v="223.2"/>
    <x v="1"/>
    <d v="2024-02-12T00:00:00"/>
    <n v="223.2"/>
    <x v="14"/>
    <d v="2024-02-23T00:00:00"/>
    <n v="235"/>
    <x v="0"/>
    <m/>
    <m/>
    <x v="0"/>
    <m/>
    <m/>
    <x v="0"/>
    <m/>
    <m/>
    <x v="0"/>
    <m/>
    <m/>
    <x v="0"/>
    <m/>
    <m/>
    <x v="1"/>
  </r>
  <r>
    <x v="43"/>
    <x v="43"/>
    <n v="135"/>
    <d v="2024-02-06T00:00:00"/>
    <x v="0"/>
    <n v="2"/>
    <n v="305"/>
    <n v="423.7"/>
    <d v="2024-02-07T00:00:00"/>
    <n v="205"/>
    <d v="2024-08-14T00:00:00"/>
    <m/>
    <m/>
    <m/>
    <x v="1"/>
    <d v="2024-02-06T00:00:00"/>
    <n v="366"/>
    <x v="1"/>
    <d v="2024-02-06T00:00:00"/>
    <n v="366"/>
    <x v="1"/>
    <d v="2024-02-06T00:00:00"/>
    <n v="366"/>
    <x v="1"/>
    <d v="2024-02-06T00:00:00"/>
    <n v="366"/>
    <x v="1"/>
    <d v="2024-02-06T00:00:00"/>
    <n v="366"/>
    <x v="1"/>
    <d v="2024-02-06T00:00:00"/>
    <n v="366"/>
    <x v="1"/>
    <d v="2024-02-06T00:00:00"/>
    <n v="366"/>
    <x v="1"/>
    <d v="2024-02-06T00:00:00"/>
    <n v="366"/>
    <x v="1"/>
    <d v="2024-02-06T00:00:00"/>
    <n v="366"/>
    <x v="1"/>
    <d v="2024-02-06T00:00:00"/>
    <n v="366"/>
    <x v="1"/>
  </r>
  <r>
    <x v="44"/>
    <x v="44"/>
    <n v="230"/>
    <d v="2024-01-30T00:00:00"/>
    <x v="0"/>
    <n v="1"/>
    <n v="221"/>
    <n v="393.75"/>
    <d v="2024-09-18T00:00:00"/>
    <n v="150.6"/>
    <d v="2024-03-28T00:00:00"/>
    <m/>
    <m/>
    <m/>
    <x v="7"/>
    <d v="2024-06-26T00:00:00"/>
    <n v="255.31"/>
    <x v="11"/>
    <d v="2024-07-24T00:00:00"/>
    <n v="277"/>
    <x v="13"/>
    <d v="2024-09-10T00:00:00"/>
    <n v="302.7"/>
    <x v="14"/>
    <d v="2024-09-11T00:00:00"/>
    <n v="328.3"/>
    <x v="15"/>
    <d v="2024-09-13T00:00:00"/>
    <n v="356.5"/>
    <x v="11"/>
    <d v="2024-09-16T00:00:00"/>
    <n v="393.15"/>
    <x v="11"/>
    <d v="2024-09-16T00:00:00"/>
    <n v="393.15"/>
    <x v="0"/>
    <m/>
    <m/>
    <x v="0"/>
    <m/>
    <m/>
    <x v="0"/>
    <m/>
    <m/>
    <x v="1"/>
  </r>
  <r>
    <x v="45"/>
    <x v="45"/>
    <n v="418"/>
    <d v="2024-01-23T00:00:00"/>
    <x v="0"/>
    <n v="1"/>
    <n v="460"/>
    <n v="716.15"/>
    <d v="2024-09-16T00:00:00"/>
    <n v="430.55"/>
    <d v="2024-01-25T00:00:00"/>
    <m/>
    <m/>
    <m/>
    <x v="1"/>
    <d v="2024-01-23T00:00:00"/>
    <n v="518"/>
    <x v="1"/>
    <d v="2024-01-23T00:00:00"/>
    <n v="518"/>
    <x v="14"/>
    <d v="2024-02-06T00:00:00"/>
    <n v="559.75"/>
    <x v="15"/>
    <d v="2024-06-13T00:00:00"/>
    <n v="586.95000000000005"/>
    <x v="16"/>
    <d v="2024-08-27T00:00:00"/>
    <n v="639"/>
    <x v="12"/>
    <d v="2024-09-04T00:00:00"/>
    <n v="698.5"/>
    <x v="12"/>
    <d v="2024-09-16T00:00:00"/>
    <n v="716.15"/>
    <x v="0"/>
    <m/>
    <m/>
    <x v="0"/>
    <m/>
    <m/>
    <x v="0"/>
    <m/>
    <m/>
    <x v="1"/>
  </r>
  <r>
    <x v="46"/>
    <x v="46"/>
    <n v="331"/>
    <d v="2024-01-16T00:00:00"/>
    <x v="0"/>
    <n v="1"/>
    <n v="370"/>
    <n v="1449.95"/>
    <d v="2024-06-20T00:00:00"/>
    <n v="368"/>
    <d v="2024-01-16T00:00:00"/>
    <m/>
    <m/>
    <m/>
    <x v="1"/>
    <d v="2024-01-16T00:00:00"/>
    <n v="444"/>
    <x v="1"/>
    <d v="2024-01-16T00:00:00"/>
    <n v="444"/>
    <x v="1"/>
    <d v="2024-01-16T00:00:00"/>
    <n v="444"/>
    <x v="16"/>
    <d v="2024-01-18T00:00:00"/>
    <n v="484"/>
    <x v="17"/>
    <d v="2024-01-31T00:00:00"/>
    <n v="553.79999999999995"/>
    <x v="13"/>
    <d v="2024-01-31T00:00:00"/>
    <n v="553.79999999999995"/>
    <x v="13"/>
    <d v="2024-02-01T00:00:00"/>
    <n v="638.79999999999995"/>
    <x v="10"/>
    <d v="2024-02-01T00:00:00"/>
    <n v="638.79999999999995"/>
    <x v="9"/>
    <d v="2024-02-01T00:00:00"/>
    <n v="638.79999999999995"/>
    <x v="10"/>
    <d v="2024-02-19T00:00:00"/>
    <n v="670"/>
    <x v="1"/>
  </r>
  <r>
    <x v="47"/>
    <x v="47"/>
    <n v="448"/>
    <d v="2023-12-29T00:00:00"/>
    <x v="1"/>
    <n v="12"/>
    <n v="452.1"/>
    <n v="841.55"/>
    <d v="2024-09-17T00:00:00"/>
    <n v="421.35"/>
    <d v="2024-06-04T00:00:00"/>
    <m/>
    <m/>
    <m/>
    <x v="1"/>
    <d v="2023-12-29T00:00:00"/>
    <n v="542.5"/>
    <x v="1"/>
    <d v="2023-12-29T00:00:00"/>
    <n v="542.5"/>
    <x v="15"/>
    <d v="2024-01-02T00:00:00"/>
    <n v="588"/>
    <x v="17"/>
    <d v="2024-07-25T00:00:00"/>
    <n v="635"/>
    <x v="18"/>
    <d v="2024-08-13T00:00:00"/>
    <n v="696.95"/>
    <x v="14"/>
    <d v="2024-08-19T00:00:00"/>
    <n v="725"/>
    <x v="14"/>
    <d v="2024-09-05T00:00:00"/>
    <n v="772.4"/>
    <x v="11"/>
    <d v="2024-09-17T00:00:00"/>
    <n v="841.55"/>
    <x v="0"/>
    <m/>
    <m/>
    <x v="0"/>
    <m/>
    <m/>
    <x v="1"/>
  </r>
  <r>
    <x v="48"/>
    <x v="48"/>
    <n v="524"/>
    <d v="2023-12-28T00:00:00"/>
    <x v="1"/>
    <n v="12"/>
    <n v="720"/>
    <n v="2080"/>
    <d v="2024-06-20T00:00:00"/>
    <n v="642.4"/>
    <d v="2024-01-17T00:00:00"/>
    <m/>
    <m/>
    <m/>
    <x v="1"/>
    <d v="2023-12-28T00:00:00"/>
    <n v="727"/>
    <x v="1"/>
    <d v="2023-12-28T00:00:00"/>
    <n v="727"/>
    <x v="1"/>
    <d v="2023-12-28T00:00:00"/>
    <n v="727"/>
    <x v="18"/>
    <d v="2024-01-29T00:00:00"/>
    <n v="745.9"/>
    <x v="19"/>
    <d v="2024-01-30T00:00:00"/>
    <n v="854.3"/>
    <x v="15"/>
    <d v="2024-01-30T00:00:00"/>
    <n v="854.3"/>
    <x v="15"/>
    <d v="2024-01-31T00:00:00"/>
    <n v="1013.4"/>
    <x v="12"/>
    <d v="2024-01-31T00:00:00"/>
    <n v="1013.4"/>
    <x v="10"/>
    <d v="2024-01-31T00:00:00"/>
    <n v="1013.4"/>
    <x v="11"/>
    <d v="2024-02-15T00:00:00"/>
    <n v="1100"/>
    <x v="1"/>
  </r>
  <r>
    <x v="49"/>
    <x v="49"/>
    <n v="850"/>
    <d v="2023-12-27T00:00:00"/>
    <x v="1"/>
    <n v="12"/>
    <n v="1000"/>
    <n v="1299.95"/>
    <d v="2024-07-04T00:00:00"/>
    <n v="813.2"/>
    <d v="2024-03-18T00:00:00"/>
    <m/>
    <m/>
    <m/>
    <x v="1"/>
    <d v="2023-12-27T00:00:00"/>
    <n v="1087.4000000000001"/>
    <x v="1"/>
    <d v="2023-12-27T00:00:00"/>
    <n v="1087.4000000000001"/>
    <x v="16"/>
    <d v="2024-05-23T00:00:00"/>
    <n v="1117.8"/>
    <x v="19"/>
    <d v="2024-06-06T00:00:00"/>
    <n v="1199"/>
    <x v="20"/>
    <d v="2024-07-03T00:00:00"/>
    <n v="1282"/>
    <x v="0"/>
    <m/>
    <m/>
    <x v="0"/>
    <m/>
    <m/>
    <x v="0"/>
    <m/>
    <m/>
    <x v="0"/>
    <m/>
    <m/>
    <x v="0"/>
    <m/>
    <m/>
    <x v="1"/>
  </r>
  <r>
    <x v="50"/>
    <x v="50"/>
    <n v="280"/>
    <d v="2023-12-27T00:00:00"/>
    <x v="1"/>
    <n v="12"/>
    <n v="282.35000000000002"/>
    <n v="324.8"/>
    <d v="2023-12-27T00:00:00"/>
    <n v="145.19999999999999"/>
    <d v="2024-06-04T00:00:00"/>
    <m/>
    <m/>
    <m/>
    <x v="1"/>
    <d v="2023-12-27T00:00:00"/>
    <n v="324.8"/>
    <x v="0"/>
    <m/>
    <m/>
    <x v="0"/>
    <m/>
    <m/>
    <x v="0"/>
    <m/>
    <m/>
    <x v="0"/>
    <m/>
    <m/>
    <x v="0"/>
    <m/>
    <m/>
    <x v="0"/>
    <m/>
    <m/>
    <x v="0"/>
    <m/>
    <m/>
    <x v="0"/>
    <m/>
    <m/>
    <x v="0"/>
    <m/>
    <m/>
    <x v="1"/>
  </r>
  <r>
    <x v="51"/>
    <x v="51"/>
    <n v="291"/>
    <d v="2023-12-26T00:00:00"/>
    <x v="1"/>
    <n v="12"/>
    <n v="275.3"/>
    <n v="281"/>
    <d v="2023-12-26T00:00:00"/>
    <n v="196.6"/>
    <d v="2024-03-13T00:00:00"/>
    <m/>
    <m/>
    <m/>
    <x v="0"/>
    <m/>
    <m/>
    <x v="0"/>
    <m/>
    <m/>
    <x v="0"/>
    <m/>
    <m/>
    <x v="0"/>
    <m/>
    <m/>
    <x v="0"/>
    <m/>
    <m/>
    <x v="0"/>
    <m/>
    <m/>
    <x v="0"/>
    <m/>
    <m/>
    <x v="0"/>
    <m/>
    <m/>
    <x v="0"/>
    <m/>
    <m/>
    <x v="0"/>
    <m/>
    <m/>
    <x v="1"/>
  </r>
  <r>
    <x v="52"/>
    <x v="52"/>
    <n v="360"/>
    <d v="2023-12-26T00:00:00"/>
    <x v="1"/>
    <n v="12"/>
    <n v="340"/>
    <n v="692"/>
    <d v="2024-07-08T00:00:00"/>
    <n v="255.8"/>
    <d v="2024-03-27T00:00:00"/>
    <m/>
    <m/>
    <m/>
    <x v="8"/>
    <d v="2024-04-30T00:00:00"/>
    <n v="402"/>
    <x v="12"/>
    <d v="2024-05-06T00:00:00"/>
    <n v="438"/>
    <x v="17"/>
    <d v="2024-06-26T00:00:00"/>
    <n v="487.3"/>
    <x v="20"/>
    <d v="2024-06-28T00:00:00"/>
    <n v="505.65"/>
    <x v="21"/>
    <d v="2024-07-03T00:00:00"/>
    <n v="589.95000000000005"/>
    <x v="16"/>
    <d v="2024-07-03T00:00:00"/>
    <n v="589.95000000000005"/>
    <x v="16"/>
    <d v="2024-07-04T00:00:00"/>
    <n v="629.79999999999995"/>
    <x v="13"/>
    <d v="2024-07-08T00:00:00"/>
    <n v="692"/>
    <x v="11"/>
    <d v="2024-07-08T00:00:00"/>
    <n v="692"/>
    <x v="0"/>
    <m/>
    <m/>
    <x v="1"/>
  </r>
  <r>
    <x v="53"/>
    <x v="53"/>
    <n v="660"/>
    <d v="2023-12-21T00:00:00"/>
    <x v="1"/>
    <n v="12"/>
    <n v="949.65"/>
    <n v="1506.9"/>
    <d v="2024-07-08T00:00:00"/>
    <n v="801.55"/>
    <d v="2024-01-24T00:00:00"/>
    <m/>
    <m/>
    <m/>
    <x v="1"/>
    <d v="2023-12-21T00:00:00"/>
    <n v="990"/>
    <x v="1"/>
    <d v="2023-12-21T00:00:00"/>
    <n v="990"/>
    <x v="1"/>
    <d v="2023-12-21T00:00:00"/>
    <n v="990"/>
    <x v="1"/>
    <d v="2023-12-21T00:00:00"/>
    <n v="990"/>
    <x v="1"/>
    <d v="2023-12-21T00:00:00"/>
    <n v="990"/>
    <x v="17"/>
    <d v="2024-02-07T00:00:00"/>
    <n v="1086.95"/>
    <x v="17"/>
    <d v="2024-02-15T00:00:00"/>
    <n v="1199.8"/>
    <x v="14"/>
    <d v="2024-02-15T00:00:00"/>
    <n v="1199.8"/>
    <x v="12"/>
    <d v="2024-02-23T00:00:00"/>
    <n v="1294"/>
    <x v="7"/>
    <d v="2024-02-26T00:00:00"/>
    <n v="1323"/>
    <x v="1"/>
  </r>
  <r>
    <x v="54"/>
    <x v="54"/>
    <n v="790"/>
    <d v="2023-12-20T00:00:00"/>
    <x v="1"/>
    <n v="12"/>
    <n v="1400"/>
    <n v="2975"/>
    <d v="2024-09-17T00:00:00"/>
    <n v="1225.5999999999999"/>
    <d v="2023-12-21T00:00:00"/>
    <m/>
    <m/>
    <m/>
    <x v="1"/>
    <d v="2023-12-20T00:00:00"/>
    <n v="1434"/>
    <x v="1"/>
    <d v="2023-12-20T00:00:00"/>
    <n v="1434"/>
    <x v="1"/>
    <d v="2023-12-20T00:00:00"/>
    <n v="1434"/>
    <x v="1"/>
    <d v="2023-12-20T00:00:00"/>
    <n v="1434"/>
    <x v="1"/>
    <d v="2023-12-20T00:00:00"/>
    <n v="1434"/>
    <x v="1"/>
    <d v="2023-12-20T00:00:00"/>
    <n v="1434"/>
    <x v="1"/>
    <d v="2023-12-20T00:00:00"/>
    <n v="1434"/>
    <x v="1"/>
    <d v="2023-12-20T00:00:00"/>
    <n v="1434"/>
    <x v="13"/>
    <d v="2024-01-11T00:00:00"/>
    <n v="1537.35"/>
    <x v="12"/>
    <d v="2024-02-09T00:00:00"/>
    <n v="1644.5"/>
    <x v="1"/>
  </r>
  <r>
    <x v="55"/>
    <x v="55"/>
    <n v="493"/>
    <d v="2023-12-20T00:00:00"/>
    <x v="1"/>
    <n v="12"/>
    <n v="620"/>
    <n v="799"/>
    <d v="2024-09-13T00:00:00"/>
    <n v="519.15"/>
    <d v="2023-12-28T00:00:00"/>
    <m/>
    <m/>
    <m/>
    <x v="1"/>
    <d v="2023-12-20T00:00:00"/>
    <n v="630"/>
    <x v="1"/>
    <d v="2023-12-20T00:00:00"/>
    <n v="630"/>
    <x v="18"/>
    <d v="2024-02-02T00:00:00"/>
    <n v="725.1"/>
    <x v="6"/>
    <d v="2024-02-02T00:00:00"/>
    <n v="725.1"/>
    <x v="22"/>
    <d v="2024-06-19T00:00:00"/>
    <n v="746.15"/>
    <x v="18"/>
    <d v="2024-08-19T00:00:00"/>
    <n v="793"/>
    <x v="0"/>
    <m/>
    <m/>
    <x v="0"/>
    <m/>
    <m/>
    <x v="0"/>
    <m/>
    <m/>
    <x v="0"/>
    <m/>
    <m/>
    <x v="1"/>
  </r>
  <r>
    <x v="56"/>
    <x v="56"/>
    <n v="304"/>
    <d v="2023-12-01T00:00:00"/>
    <x v="1"/>
    <n v="12"/>
    <n v="501"/>
    <n v="514.4"/>
    <d v="2023-12-01T00:00:00"/>
    <n v="246.1"/>
    <d v="2024-03-14T00:00:00"/>
    <m/>
    <m/>
    <m/>
    <x v="1"/>
    <d v="2023-12-01T00:00:00"/>
    <n v="514.4"/>
    <x v="1"/>
    <d v="2023-12-01T00:00:00"/>
    <n v="514.4"/>
    <x v="1"/>
    <d v="2023-12-01T00:00:00"/>
    <n v="514.4"/>
    <x v="1"/>
    <d v="2023-12-01T00:00:00"/>
    <n v="514.4"/>
    <x v="1"/>
    <d v="2023-12-01T00:00:00"/>
    <n v="514.4"/>
    <x v="1"/>
    <d v="2023-12-01T00:00:00"/>
    <n v="514.4"/>
    <x v="0"/>
    <m/>
    <m/>
    <x v="0"/>
    <m/>
    <m/>
    <x v="0"/>
    <m/>
    <m/>
    <x v="0"/>
    <m/>
    <m/>
    <x v="1"/>
  </r>
  <r>
    <x v="57"/>
    <x v="57"/>
    <n v="500"/>
    <d v="2023-11-30T00:00:00"/>
    <x v="1"/>
    <n v="11"/>
    <n v="1200"/>
    <n v="1400"/>
    <d v="2023-11-30T00:00:00"/>
    <n v="970.1"/>
    <d v="2024-08-05T00:00:00"/>
    <m/>
    <m/>
    <m/>
    <x v="1"/>
    <d v="2023-11-30T00:00:00"/>
    <n v="1400"/>
    <x v="1"/>
    <d v="2023-11-30T00:00:00"/>
    <n v="1400"/>
    <x v="1"/>
    <d v="2023-11-30T00:00:00"/>
    <n v="1400"/>
    <x v="1"/>
    <d v="2023-11-30T00:00:00"/>
    <n v="1400"/>
    <x v="1"/>
    <d v="2023-11-30T00:00:00"/>
    <n v="1400"/>
    <x v="1"/>
    <d v="2023-11-30T00:00:00"/>
    <n v="1400"/>
    <x v="1"/>
    <d v="2023-11-30T00:00:00"/>
    <n v="1400"/>
    <x v="1"/>
    <d v="2023-11-30T00:00:00"/>
    <n v="1400"/>
    <x v="1"/>
    <d v="2023-11-30T00:00:00"/>
    <n v="1400"/>
    <x v="1"/>
    <d v="2023-11-30T00:00:00"/>
    <n v="1400"/>
    <x v="1"/>
  </r>
  <r>
    <x v="58"/>
    <x v="58"/>
    <n v="169"/>
    <d v="2023-11-30T00:00:00"/>
    <x v="1"/>
    <n v="11"/>
    <n v="298"/>
    <n v="344.05"/>
    <d v="2023-11-30T00:00:00"/>
    <n v="182.45"/>
    <d v="2024-06-04T00:00:00"/>
    <m/>
    <m/>
    <m/>
    <x v="1"/>
    <d v="2023-11-30T00:00:00"/>
    <n v="344.05"/>
    <x v="1"/>
    <d v="2023-11-30T00:00:00"/>
    <n v="344.05"/>
    <x v="1"/>
    <d v="2023-11-30T00:00:00"/>
    <n v="344.05"/>
    <x v="1"/>
    <d v="2023-11-30T00:00:00"/>
    <n v="344.05"/>
    <x v="1"/>
    <d v="2023-11-30T00:00:00"/>
    <n v="344.05"/>
    <x v="1"/>
    <d v="2023-11-30T00:00:00"/>
    <n v="344.05"/>
    <x v="1"/>
    <d v="2023-11-30T00:00:00"/>
    <n v="344.05"/>
    <x v="1"/>
    <d v="2023-11-30T00:00:00"/>
    <n v="344.05"/>
    <x v="1"/>
    <d v="2023-11-30T00:00:00"/>
    <n v="344.05"/>
    <x v="1"/>
    <d v="2023-11-30T00:00:00"/>
    <n v="344.05"/>
    <x v="1"/>
  </r>
  <r>
    <x v="59"/>
    <x v="59"/>
    <n v="140"/>
    <d v="2023-11-30T00:00:00"/>
    <x v="1"/>
    <n v="11"/>
    <n v="138"/>
    <n v="153.6"/>
    <d v="2023-12-15T00:00:00"/>
    <n v="108.75"/>
    <d v="2024-03-13T00:00:00"/>
    <m/>
    <m/>
    <m/>
    <x v="0"/>
    <m/>
    <m/>
    <x v="0"/>
    <m/>
    <m/>
    <x v="0"/>
    <m/>
    <m/>
    <x v="0"/>
    <m/>
    <m/>
    <x v="0"/>
    <m/>
    <m/>
    <x v="0"/>
    <m/>
    <m/>
    <x v="0"/>
    <m/>
    <m/>
    <x v="0"/>
    <m/>
    <m/>
    <x v="0"/>
    <m/>
    <m/>
    <x v="0"/>
    <m/>
    <m/>
    <x v="1"/>
  </r>
  <r>
    <x v="60"/>
    <x v="60"/>
    <n v="282"/>
    <d v="2023-11-15T00:00:00"/>
    <x v="1"/>
    <n v="11"/>
    <n v="303.3"/>
    <n v="478.25"/>
    <d v="2024-09-16T00:00:00"/>
    <n v="240.1"/>
    <d v="2024-03-13T00:00:00"/>
    <m/>
    <m/>
    <m/>
    <x v="1"/>
    <d v="2023-11-15T00:00:00"/>
    <n v="316.7"/>
    <x v="13"/>
    <d v="2024-06-13T00:00:00"/>
    <n v="346.8"/>
    <x v="19"/>
    <d v="2024-06-20T00:00:00"/>
    <n v="371.8"/>
    <x v="21"/>
    <d v="2024-07-03T00:00:00"/>
    <n v="400.1"/>
    <x v="23"/>
    <d v="2024-07-29T00:00:00"/>
    <n v="433.8"/>
    <x v="19"/>
    <d v="2024-08-28T00:00:00"/>
    <n v="474.8"/>
    <x v="0"/>
    <m/>
    <m/>
    <x v="0"/>
    <m/>
    <m/>
    <x v="0"/>
    <m/>
    <m/>
    <x v="0"/>
    <m/>
    <m/>
    <x v="1"/>
  </r>
  <r>
    <x v="61"/>
    <x v="61"/>
    <n v="60"/>
    <d v="2023-11-10T00:00:00"/>
    <x v="1"/>
    <n v="11"/>
    <n v="71"/>
    <n v="82.4"/>
    <d v="2024-02-08T00:00:00"/>
    <n v="48.88"/>
    <d v="2024-09-09T00:00:00"/>
    <m/>
    <m/>
    <m/>
    <x v="1"/>
    <d v="2023-11-10T00:00:00"/>
    <n v="74.8"/>
    <x v="1"/>
    <d v="2023-11-10T00:00:00"/>
    <n v="74.8"/>
    <x v="20"/>
    <d v="2024-02-07T00:00:00"/>
    <n v="81.2"/>
    <x v="0"/>
    <m/>
    <m/>
    <x v="0"/>
    <m/>
    <m/>
    <x v="0"/>
    <m/>
    <m/>
    <x v="0"/>
    <m/>
    <m/>
    <x v="0"/>
    <m/>
    <m/>
    <x v="0"/>
    <m/>
    <m/>
    <x v="0"/>
    <m/>
    <m/>
    <x v="1"/>
  </r>
  <r>
    <x v="62"/>
    <x v="62"/>
    <n v="324"/>
    <d v="2023-11-07T00:00:00"/>
    <x v="1"/>
    <n v="11"/>
    <n v="330"/>
    <n v="547"/>
    <d v="2024-09-10T00:00:00"/>
    <n v="256.3"/>
    <d v="2023-11-10T00:00:00"/>
    <m/>
    <m/>
    <m/>
    <x v="9"/>
    <d v="2023-11-20T00:00:00"/>
    <n v="374.95"/>
    <x v="14"/>
    <d v="2023-11-23T00:00:00"/>
    <n v="423.75"/>
    <x v="21"/>
    <d v="2023-11-23T00:00:00"/>
    <n v="423.75"/>
    <x v="22"/>
    <d v="2023-11-24T00:00:00"/>
    <n v="486.15"/>
    <x v="24"/>
    <d v="2023-11-24T00:00:00"/>
    <n v="486.15"/>
    <x v="20"/>
    <d v="2024-08-26T00:00:00"/>
    <n v="537.9"/>
    <x v="0"/>
    <m/>
    <m/>
    <x v="0"/>
    <m/>
    <m/>
    <x v="0"/>
    <m/>
    <m/>
    <x v="0"/>
    <m/>
    <m/>
    <x v="1"/>
  </r>
  <r>
    <x v="63"/>
    <x v="63"/>
    <n v="648"/>
    <d v="2023-11-06T00:00:00"/>
    <x v="1"/>
    <n v="11"/>
    <n v="829"/>
    <n v="1025"/>
    <d v="2024-07-04T00:00:00"/>
    <n v="711.2"/>
    <d v="2024-03-14T00:00:00"/>
    <m/>
    <m/>
    <m/>
    <x v="1"/>
    <d v="2023-11-06T00:00:00"/>
    <n v="837.4"/>
    <x v="1"/>
    <d v="2023-11-06T00:00:00"/>
    <n v="837.4"/>
    <x v="22"/>
    <d v="2024-01-04T00:00:00"/>
    <n v="875"/>
    <x v="23"/>
    <d v="2024-01-11T00:00:00"/>
    <n v="920"/>
    <x v="25"/>
    <d v="2024-07-04T00:00:00"/>
    <n v="1025"/>
    <x v="0"/>
    <m/>
    <m/>
    <x v="0"/>
    <m/>
    <m/>
    <x v="0"/>
    <m/>
    <m/>
    <x v="0"/>
    <m/>
    <m/>
    <x v="0"/>
    <m/>
    <m/>
    <x v="1"/>
  </r>
  <r>
    <x v="64"/>
    <x v="64"/>
    <n v="346"/>
    <d v="2023-11-01T00:00:00"/>
    <x v="1"/>
    <n v="11"/>
    <n v="380"/>
    <n v="547"/>
    <d v="2024-09-17T00:00:00"/>
    <n v="319.5"/>
    <d v="2023-12-12T00:00:00"/>
    <m/>
    <m/>
    <m/>
    <x v="1"/>
    <d v="2023-11-01T00:00:00"/>
    <n v="417.95"/>
    <x v="1"/>
    <d v="2023-11-01T00:00:00"/>
    <n v="417.95"/>
    <x v="23"/>
    <d v="2024-07-23T00:00:00"/>
    <n v="455"/>
    <x v="24"/>
    <d v="2024-08-01T00:00:00"/>
    <n v="515"/>
    <x v="26"/>
    <d v="2024-08-05T00:00:00"/>
    <n v="530"/>
    <x v="0"/>
    <m/>
    <m/>
    <x v="0"/>
    <m/>
    <m/>
    <x v="0"/>
    <m/>
    <m/>
    <x v="0"/>
    <m/>
    <m/>
    <x v="0"/>
    <m/>
    <m/>
    <x v="1"/>
  </r>
  <r>
    <x v="65"/>
    <x v="65"/>
    <n v="505"/>
    <d v="2023-10-26T00:00:00"/>
    <x v="1"/>
    <n v="10"/>
    <n v="477.25"/>
    <n v="641"/>
    <d v="2024-04-22T00:00:00"/>
    <n v="404"/>
    <d v="2024-08-16T00:00:00"/>
    <m/>
    <m/>
    <m/>
    <x v="10"/>
    <d v="2023-12-27T00:00:00"/>
    <n v="564.29999999999995"/>
    <x v="15"/>
    <d v="2024-02-01T00:00:00"/>
    <n v="615"/>
    <x v="0"/>
    <m/>
    <m/>
    <x v="0"/>
    <m/>
    <m/>
    <x v="0"/>
    <m/>
    <m/>
    <x v="0"/>
    <m/>
    <m/>
    <x v="0"/>
    <m/>
    <m/>
    <x v="0"/>
    <m/>
    <m/>
    <x v="0"/>
    <m/>
    <m/>
    <x v="0"/>
    <m/>
    <m/>
    <x v="1"/>
  </r>
  <r>
    <x v="66"/>
    <x v="66"/>
    <n v="300"/>
    <d v="2023-10-04T00:00:00"/>
    <x v="1"/>
    <n v="10"/>
    <n v="285"/>
    <n v="404.8"/>
    <d v="2024-09-13T00:00:00"/>
    <n v="235.3"/>
    <d v="2023-10-25T00:00:00"/>
    <m/>
    <m/>
    <m/>
    <x v="11"/>
    <d v="2023-12-22T00:00:00"/>
    <n v="362.25"/>
    <x v="16"/>
    <d v="2023-12-22T00:00:00"/>
    <n v="362.25"/>
    <x v="24"/>
    <d v="2024-09-10T00:00:00"/>
    <n v="396.6"/>
    <x v="0"/>
    <m/>
    <m/>
    <x v="0"/>
    <m/>
    <m/>
    <x v="0"/>
    <m/>
    <m/>
    <x v="0"/>
    <m/>
    <m/>
    <x v="0"/>
    <m/>
    <m/>
    <x v="0"/>
    <m/>
    <m/>
    <x v="0"/>
    <m/>
    <m/>
    <x v="1"/>
  </r>
  <r>
    <x v="67"/>
    <x v="67"/>
    <n v="119"/>
    <d v="2023-10-03T00:00:00"/>
    <x v="1"/>
    <n v="10"/>
    <n v="143"/>
    <n v="360.95"/>
    <d v="2024-07-04T00:00:00"/>
    <n v="142.19999999999999"/>
    <d v="2023-10-03T00:00:00"/>
    <m/>
    <m/>
    <m/>
    <x v="1"/>
    <d v="2023-10-03T00:00:00"/>
    <n v="157.30000000000001"/>
    <x v="1"/>
    <d v="2023-10-03T00:00:00"/>
    <n v="157.30000000000001"/>
    <x v="1"/>
    <d v="2023-10-03T00:00:00"/>
    <n v="157.30000000000001"/>
    <x v="2"/>
    <d v="2023-10-04T00:00:00"/>
    <n v="168.7"/>
    <x v="17"/>
    <d v="2023-10-18T00:00:00"/>
    <n v="186.35"/>
    <x v="21"/>
    <d v="2023-11-07T00:00:00"/>
    <n v="207.1"/>
    <x v="18"/>
    <d v="2023-11-07T00:00:00"/>
    <n v="207.1"/>
    <x v="15"/>
    <d v="2023-11-08T00:00:00"/>
    <n v="215.45"/>
    <x v="14"/>
    <d v="2023-12-04T00:00:00"/>
    <n v="227.6"/>
    <x v="13"/>
    <d v="2023-12-06T00:00:00"/>
    <n v="244.9"/>
    <x v="1"/>
  </r>
  <r>
    <x v="68"/>
    <x v="68"/>
    <n v="215"/>
    <d v="2023-10-03T00:00:00"/>
    <x v="1"/>
    <n v="10"/>
    <n v="215"/>
    <n v="382"/>
    <d v="2023-11-21T00:00:00"/>
    <n v="165"/>
    <d v="2024-03-18T00:00:00"/>
    <m/>
    <m/>
    <m/>
    <x v="12"/>
    <d v="2023-10-09T00:00:00"/>
    <n v="244.35"/>
    <x v="17"/>
    <d v="2023-10-12T00:00:00"/>
    <n v="280.8"/>
    <x v="25"/>
    <d v="2023-10-12T00:00:00"/>
    <n v="280.8"/>
    <x v="25"/>
    <d v="2023-11-08T00:00:00"/>
    <n v="308.5"/>
    <x v="27"/>
    <d v="2023-11-13T00:00:00"/>
    <n v="335"/>
    <x v="17"/>
    <d v="2023-11-20T00:00:00"/>
    <n v="379.65"/>
    <x v="19"/>
    <d v="2023-11-20T00:00:00"/>
    <n v="379.65"/>
    <x v="0"/>
    <m/>
    <m/>
    <x v="0"/>
    <m/>
    <m/>
    <x v="0"/>
    <m/>
    <m/>
    <x v="1"/>
  </r>
  <r>
    <x v="69"/>
    <x v="69"/>
    <n v="385"/>
    <d v="2023-09-27T00:00:00"/>
    <x v="1"/>
    <n v="9"/>
    <n v="444"/>
    <n v="1575"/>
    <d v="2024-07-30T00:00:00"/>
    <n v="444"/>
    <d v="2023-09-27T00:00:00"/>
    <m/>
    <m/>
    <m/>
    <x v="1"/>
    <d v="2023-09-27T00:00:00"/>
    <n v="474"/>
    <x v="1"/>
    <d v="2023-09-27T00:00:00"/>
    <n v="474"/>
    <x v="25"/>
    <d v="2023-10-06T00:00:00"/>
    <n v="503.45"/>
    <x v="26"/>
    <d v="2023-10-20T00:00:00"/>
    <n v="560"/>
    <x v="28"/>
    <d v="2023-10-31T00:00:00"/>
    <n v="584.70000000000005"/>
    <x v="22"/>
    <d v="2023-11-06T00:00:00"/>
    <n v="627"/>
    <x v="20"/>
    <d v="2023-11-07T00:00:00"/>
    <n v="662.25"/>
    <x v="16"/>
    <d v="2023-11-13T00:00:00"/>
    <n v="707"/>
    <x v="5"/>
    <d v="2023-11-15T00:00:00"/>
    <n v="740"/>
    <x v="14"/>
    <d v="2023-11-22T00:00:00"/>
    <n v="770.9"/>
    <x v="1"/>
  </r>
  <r>
    <x v="70"/>
    <x v="70"/>
    <n v="222"/>
    <d v="2023-09-27T00:00:00"/>
    <x v="1"/>
    <n v="9"/>
    <n v="231"/>
    <n v="312"/>
    <d v="2023-11-28T00:00:00"/>
    <n v="143.91999999999999"/>
    <d v="2024-08-16T00:00:00"/>
    <m/>
    <m/>
    <m/>
    <x v="1"/>
    <d v="2023-09-27T00:00:00"/>
    <n v="247"/>
    <x v="18"/>
    <d v="2023-10-18T00:00:00"/>
    <n v="272.55"/>
    <x v="26"/>
    <d v="2023-11-20T00:00:00"/>
    <n v="294.10000000000002"/>
    <x v="27"/>
    <d v="2023-11-28T00:00:00"/>
    <n v="312"/>
    <x v="0"/>
    <m/>
    <m/>
    <x v="0"/>
    <m/>
    <m/>
    <x v="0"/>
    <m/>
    <m/>
    <x v="0"/>
    <m/>
    <m/>
    <x v="0"/>
    <m/>
    <m/>
    <x v="0"/>
    <m/>
    <m/>
    <x v="1"/>
  </r>
  <r>
    <x v="71"/>
    <x v="71"/>
    <n v="142"/>
    <d v="2023-09-28T00:00:00"/>
    <x v="1"/>
    <n v="9"/>
    <m/>
    <m/>
    <m/>
    <m/>
    <m/>
    <m/>
    <m/>
    <m/>
    <x v="0"/>
    <m/>
    <m/>
    <x v="0"/>
    <m/>
    <m/>
    <x v="0"/>
    <m/>
    <m/>
    <x v="0"/>
    <m/>
    <m/>
    <x v="0"/>
    <m/>
    <m/>
    <x v="0"/>
    <m/>
    <m/>
    <x v="0"/>
    <m/>
    <m/>
    <x v="0"/>
    <m/>
    <m/>
    <x v="0"/>
    <m/>
    <m/>
    <x v="0"/>
    <m/>
    <m/>
    <x v="2"/>
  </r>
  <r>
    <x v="72"/>
    <x v="72"/>
    <n v="164"/>
    <d v="2023-09-22T00:00:00"/>
    <x v="1"/>
    <n v="9"/>
    <n v="164"/>
    <n v="493.25"/>
    <d v="2024-09-17T00:00:00"/>
    <n v="155.30000000000001"/>
    <d v="2023-09-22T00:00:00"/>
    <m/>
    <m/>
    <m/>
    <x v="13"/>
    <d v="2023-09-26T00:00:00"/>
    <n v="183.4"/>
    <x v="19"/>
    <d v="2023-09-29T00:00:00"/>
    <n v="209.7"/>
    <x v="14"/>
    <d v="2023-10-06T00:00:00"/>
    <n v="222.4"/>
    <x v="7"/>
    <d v="2023-10-13T00:00:00"/>
    <n v="247.8"/>
    <x v="29"/>
    <d v="2023-10-13T00:00:00"/>
    <n v="247.8"/>
    <x v="23"/>
    <d v="2023-11-13T00:00:00"/>
    <n v="264"/>
    <x v="21"/>
    <d v="2024-02-08T00:00:00"/>
    <n v="283"/>
    <x v="17"/>
    <d v="2024-02-20T00:00:00"/>
    <n v="298.85000000000002"/>
    <x v="15"/>
    <d v="2024-02-26T00:00:00"/>
    <n v="344.25"/>
    <x v="15"/>
    <d v="2024-02-26T00:00:00"/>
    <n v="344.25"/>
    <x v="1"/>
  </r>
  <r>
    <x v="73"/>
    <x v="73"/>
    <n v="126"/>
    <d v="2023-09-22T00:00:00"/>
    <x v="1"/>
    <n v="9"/>
    <n v="134.5"/>
    <n v="237.85"/>
    <d v="2024-02-27T00:00:00"/>
    <n v="127.25"/>
    <d v="2023-09-22T00:00:00"/>
    <m/>
    <m/>
    <m/>
    <x v="1"/>
    <d v="2023-09-22T00:00:00"/>
    <n v="146.6"/>
    <x v="20"/>
    <d v="2023-09-25T00:00:00"/>
    <n v="153.35"/>
    <x v="27"/>
    <d v="2023-10-05T00:00:00"/>
    <n v="170.85"/>
    <x v="28"/>
    <d v="2023-11-24T00:00:00"/>
    <n v="178.8"/>
    <x v="30"/>
    <d v="2024-01-11T00:00:00"/>
    <n v="194.5"/>
    <x v="24"/>
    <d v="2024-02-02T00:00:00"/>
    <n v="207"/>
    <x v="22"/>
    <d v="2024-02-22T00:00:00"/>
    <n v="222.6"/>
    <x v="18"/>
    <d v="2024-02-23T00:00:00"/>
    <n v="231.75"/>
    <x v="0"/>
    <m/>
    <m/>
    <x v="0"/>
    <m/>
    <m/>
    <x v="1"/>
  </r>
  <r>
    <x v="74"/>
    <x v="74"/>
    <n v="1035"/>
    <d v="2023-09-20T00:00:00"/>
    <x v="1"/>
    <n v="9"/>
    <n v="1180"/>
    <n v="1901.95"/>
    <d v="2024-05-27T00:00:00"/>
    <n v="1136.8"/>
    <d v="2023-09-20T00:00:00"/>
    <m/>
    <m/>
    <m/>
    <x v="1"/>
    <d v="2023-09-20T00:00:00"/>
    <n v="1212.7"/>
    <x v="17"/>
    <d v="2023-09-29T00:00:00"/>
    <n v="1426.8"/>
    <x v="25"/>
    <d v="2023-09-29T00:00:00"/>
    <n v="1426.8"/>
    <x v="29"/>
    <d v="2023-10-03T00:00:00"/>
    <n v="1456.6"/>
    <x v="31"/>
    <d v="2023-11-08T00:00:00"/>
    <n v="1628.75"/>
    <x v="25"/>
    <d v="2023-11-10T00:00:00"/>
    <n v="1660"/>
    <x v="23"/>
    <d v="2023-11-21T00:00:00"/>
    <n v="1809"/>
    <x v="19"/>
    <d v="2024-05-27T00:00:00"/>
    <n v="1901.95"/>
    <x v="0"/>
    <m/>
    <m/>
    <x v="0"/>
    <m/>
    <m/>
    <x v="1"/>
  </r>
  <r>
    <x v="75"/>
    <x v="75"/>
    <n v="211"/>
    <d v="2023-09-21T00:00:00"/>
    <x v="1"/>
    <n v="9"/>
    <n v="282.05"/>
    <n v="935"/>
    <d v="2024-08-13T00:00:00"/>
    <n v="246.5"/>
    <d v="2023-09-27T00:00:00"/>
    <m/>
    <m/>
    <m/>
    <x v="1"/>
    <d v="2023-09-21T00:00:00"/>
    <n v="291"/>
    <x v="1"/>
    <d v="2023-09-21T00:00:00"/>
    <n v="291"/>
    <x v="1"/>
    <d v="2023-09-21T00:00:00"/>
    <n v="291"/>
    <x v="30"/>
    <d v="2023-10-05T00:00:00"/>
    <n v="304.39999999999998"/>
    <x v="17"/>
    <d v="2023-10-06T00:00:00"/>
    <n v="333.4"/>
    <x v="17"/>
    <d v="2023-11-08T00:00:00"/>
    <n v="355"/>
    <x v="6"/>
    <d v="2023-11-09T00:00:00"/>
    <n v="361.8"/>
    <x v="20"/>
    <d v="2023-11-13T00:00:00"/>
    <n v="383.05"/>
    <x v="16"/>
    <d v="2023-11-15T00:00:00"/>
    <n v="417.45"/>
    <x v="14"/>
    <d v="2023-11-16T00:00:00"/>
    <n v="438.3"/>
    <x v="1"/>
  </r>
  <r>
    <x v="76"/>
    <x v="76"/>
    <n v="735"/>
    <d v="2023-09-18T00:00:00"/>
    <x v="1"/>
    <n v="9"/>
    <n v="973"/>
    <n v="1653.95"/>
    <d v="2024-02-23T00:00:00"/>
    <n v="970"/>
    <d v="2023-09-18T00:00:00"/>
    <m/>
    <m/>
    <m/>
    <x v="1"/>
    <d v="2023-09-18T00:00:00"/>
    <n v="1108.95"/>
    <x v="1"/>
    <d v="2023-09-18T00:00:00"/>
    <n v="1108.95"/>
    <x v="1"/>
    <d v="2023-09-18T00:00:00"/>
    <n v="1108.95"/>
    <x v="1"/>
    <d v="2023-09-18T00:00:00"/>
    <n v="1108.95"/>
    <x v="1"/>
    <d v="2023-09-18T00:00:00"/>
    <n v="1108.95"/>
    <x v="26"/>
    <d v="2023-12-08T00:00:00"/>
    <n v="1221"/>
    <x v="24"/>
    <d v="2024-02-15T00:00:00"/>
    <n v="1261.45"/>
    <x v="18"/>
    <d v="2024-02-19T00:00:00"/>
    <n v="1475"/>
    <x v="17"/>
    <d v="2024-02-19T00:00:00"/>
    <n v="1475"/>
    <x v="16"/>
    <d v="2024-02-19T00:00:00"/>
    <n v="1475"/>
    <x v="1"/>
  </r>
  <r>
    <x v="77"/>
    <x v="77"/>
    <n v="441"/>
    <d v="2023-09-11T00:00:00"/>
    <x v="1"/>
    <n v="9"/>
    <n v="460.05"/>
    <n v="635.4"/>
    <d v="2024-02-02T00:00:00"/>
    <n v="363.95"/>
    <d v="2024-09-11T00:00:00"/>
    <m/>
    <m/>
    <m/>
    <x v="14"/>
    <d v="2023-09-27T00:00:00"/>
    <n v="486.9"/>
    <x v="21"/>
    <d v="2023-10-06T00:00:00"/>
    <n v="555"/>
    <x v="28"/>
    <d v="2023-12-18T00:00:00"/>
    <n v="587.95000000000005"/>
    <x v="31"/>
    <d v="2024-02-01T00:00:00"/>
    <n v="628.70000000000005"/>
    <x v="0"/>
    <m/>
    <m/>
    <x v="0"/>
    <m/>
    <m/>
    <x v="0"/>
    <m/>
    <m/>
    <x v="0"/>
    <m/>
    <m/>
    <x v="0"/>
    <m/>
    <m/>
    <x v="0"/>
    <m/>
    <m/>
    <x v="1"/>
  </r>
  <r>
    <x v="78"/>
    <x v="78"/>
    <n v="99"/>
    <d v="2023-09-05T00:00:00"/>
    <x v="1"/>
    <n v="9"/>
    <n v="165"/>
    <n v="297"/>
    <d v="2024-08-12T00:00:00"/>
    <n v="141"/>
    <d v="2024-03-14T00:00:00"/>
    <m/>
    <m/>
    <m/>
    <x v="1"/>
    <d v="2023-09-05T00:00:00"/>
    <n v="165"/>
    <x v="1"/>
    <d v="2023-09-05T00:00:00"/>
    <n v="165"/>
    <x v="1"/>
    <d v="2023-09-05T00:00:00"/>
    <n v="165"/>
    <x v="1"/>
    <d v="2023-09-05T00:00:00"/>
    <n v="165"/>
    <x v="1"/>
    <d v="2023-09-05T00:00:00"/>
    <n v="165"/>
    <x v="1"/>
    <d v="2023-09-05T00:00:00"/>
    <n v="165"/>
    <x v="25"/>
    <d v="2023-09-06T00:00:00"/>
    <n v="173.3"/>
    <x v="2"/>
    <d v="2023-09-15T00:00:00"/>
    <n v="187.5"/>
    <x v="18"/>
    <d v="2023-09-26T00:00:00"/>
    <n v="189.2"/>
    <x v="17"/>
    <d v="2023-10-11T00:00:00"/>
    <n v="201.8"/>
    <x v="1"/>
  </r>
  <r>
    <x v="79"/>
    <x v="79"/>
    <n v="108"/>
    <d v="2023-08-31T00:00:00"/>
    <x v="1"/>
    <n v="8"/>
    <n v="190"/>
    <n v="209.9"/>
    <d v="2024-09-11T00:00:00"/>
    <n v="115"/>
    <d v="2024-03-13T00:00:00"/>
    <m/>
    <m/>
    <m/>
    <x v="1"/>
    <d v="2023-08-31T00:00:00"/>
    <n v="196.35"/>
    <x v="1"/>
    <d v="2023-08-31T00:00:00"/>
    <n v="196.35"/>
    <x v="1"/>
    <d v="2023-08-31T00:00:00"/>
    <n v="196.35"/>
    <x v="1"/>
    <d v="2023-08-31T00:00:00"/>
    <n v="196.35"/>
    <x v="1"/>
    <d v="2023-08-31T00:00:00"/>
    <n v="196.35"/>
    <x v="1"/>
    <d v="2023-08-31T00:00:00"/>
    <n v="196.35"/>
    <x v="1"/>
    <d v="2023-08-31T00:00:00"/>
    <n v="196.35"/>
    <x v="1"/>
    <d v="2023-08-31T00:00:00"/>
    <n v="196.35"/>
    <x v="19"/>
    <d v="2024-09-11T00:00:00"/>
    <n v="209.9"/>
    <x v="0"/>
    <m/>
    <m/>
    <x v="1"/>
  </r>
  <r>
    <x v="80"/>
    <x v="80"/>
    <n v="197"/>
    <d v="2023-08-23T00:00:00"/>
    <x v="1"/>
    <n v="8"/>
    <n v="207.05"/>
    <n v="258"/>
    <d v="2023-09-11T00:00:00"/>
    <n v="145"/>
    <d v="2024-03-13T00:00:00"/>
    <m/>
    <m/>
    <m/>
    <x v="15"/>
    <d v="2023-09-07T00:00:00"/>
    <n v="232.95"/>
    <x v="14"/>
    <d v="2023-09-08T00:00:00"/>
    <n v="241.45"/>
    <x v="29"/>
    <d v="2023-09-11T00:00:00"/>
    <n v="258"/>
    <x v="0"/>
    <m/>
    <m/>
    <x v="0"/>
    <m/>
    <m/>
    <x v="0"/>
    <m/>
    <m/>
    <x v="0"/>
    <m/>
    <m/>
    <x v="0"/>
    <m/>
    <m/>
    <x v="0"/>
    <m/>
    <m/>
    <x v="0"/>
    <m/>
    <m/>
    <x v="1"/>
  </r>
  <r>
    <x v="81"/>
    <x v="81"/>
    <n v="741"/>
    <d v="2023-08-18T00:00:00"/>
    <x v="1"/>
    <n v="8"/>
    <n v="900.05"/>
    <n v="2332.1999999999998"/>
    <d v="2024-09-18T00:00:00"/>
    <n v="900.05"/>
    <d v="2023-08-18T00:00:00"/>
    <m/>
    <m/>
    <m/>
    <x v="1"/>
    <d v="2023-08-18T00:00:00"/>
    <n v="987.7"/>
    <x v="1"/>
    <d v="2023-08-18T00:00:00"/>
    <n v="987.7"/>
    <x v="1"/>
    <d v="2023-08-18T00:00:00"/>
    <n v="987.7"/>
    <x v="32"/>
    <d v="2023-09-06T00:00:00"/>
    <n v="1075"/>
    <x v="32"/>
    <d v="2023-10-03T00:00:00"/>
    <n v="1114.95"/>
    <x v="27"/>
    <d v="2023-10-16T00:00:00"/>
    <n v="1203.95"/>
    <x v="26"/>
    <d v="2023-11-08T00:00:00"/>
    <n v="1379.8"/>
    <x v="21"/>
    <d v="2023-11-08T00:00:00"/>
    <n v="1379.8"/>
    <x v="20"/>
    <d v="2023-12-18T00:00:00"/>
    <n v="1416.85"/>
    <x v="18"/>
    <d v="2023-12-22T00:00:00"/>
    <n v="1539.9"/>
    <x v="1"/>
  </r>
  <r>
    <x v="82"/>
    <x v="82"/>
    <n v="57"/>
    <d v="2023-08-16T00:00:00"/>
    <x v="1"/>
    <n v="8"/>
    <m/>
    <m/>
    <m/>
    <m/>
    <m/>
    <m/>
    <m/>
    <m/>
    <x v="0"/>
    <m/>
    <m/>
    <x v="0"/>
    <m/>
    <m/>
    <x v="0"/>
    <m/>
    <m/>
    <x v="0"/>
    <m/>
    <m/>
    <x v="0"/>
    <m/>
    <m/>
    <x v="0"/>
    <m/>
    <m/>
    <x v="0"/>
    <m/>
    <m/>
    <x v="0"/>
    <m/>
    <m/>
    <x v="0"/>
    <m/>
    <m/>
    <x v="0"/>
    <m/>
    <m/>
    <x v="2"/>
  </r>
  <r>
    <x v="83"/>
    <x v="83"/>
    <n v="300"/>
    <d v="2023-08-07T00:00:00"/>
    <x v="1"/>
    <n v="8"/>
    <n v="306.10000000000002"/>
    <n v="597"/>
    <d v="2024-09-13T00:00:00"/>
    <n v="306.10000000000002"/>
    <d v="2023-08-07T00:00:00"/>
    <m/>
    <m/>
    <m/>
    <x v="1"/>
    <d v="2023-08-07T00:00:00"/>
    <n v="343.1"/>
    <x v="2"/>
    <d v="2023-08-08T00:00:00"/>
    <n v="361.9"/>
    <x v="21"/>
    <d v="2023-08-23T00:00:00"/>
    <n v="391"/>
    <x v="33"/>
    <d v="2023-10-11T00:00:00"/>
    <n v="426.95"/>
    <x v="20"/>
    <d v="2024-02-12T00:00:00"/>
    <n v="459.4"/>
    <x v="28"/>
    <d v="2024-02-16T00:00:00"/>
    <n v="496"/>
    <x v="27"/>
    <d v="2024-08-22T00:00:00"/>
    <n v="513.4"/>
    <x v="22"/>
    <d v="2024-08-27T00:00:00"/>
    <n v="543.95000000000005"/>
    <x v="21"/>
    <d v="2024-09-12T00:00:00"/>
    <n v="572.29999999999995"/>
    <x v="0"/>
    <m/>
    <m/>
    <x v="1"/>
  </r>
  <r>
    <x v="84"/>
    <x v="84"/>
    <n v="500"/>
    <d v="2023-07-27T00:00:00"/>
    <x v="1"/>
    <n v="7"/>
    <n v="947"/>
    <n v="2925"/>
    <d v="2024-09-02T00:00:00"/>
    <n v="738.6"/>
    <d v="2023-10-26T00:00:00"/>
    <m/>
    <m/>
    <m/>
    <x v="1"/>
    <d v="2023-07-27T00:00:00"/>
    <n v="952"/>
    <x v="1"/>
    <d v="2023-07-27T00:00:00"/>
    <n v="952"/>
    <x v="1"/>
    <d v="2023-07-27T00:00:00"/>
    <n v="952"/>
    <x v="1"/>
    <d v="2023-07-27T00:00:00"/>
    <n v="952"/>
    <x v="1"/>
    <d v="2023-07-27T00:00:00"/>
    <n v="952"/>
    <x v="1"/>
    <d v="2023-07-27T00:00:00"/>
    <n v="952"/>
    <x v="1"/>
    <d v="2023-07-27T00:00:00"/>
    <n v="952"/>
    <x v="1"/>
    <d v="2023-07-27T00:00:00"/>
    <n v="952"/>
    <x v="1"/>
    <d v="2023-07-27T00:00:00"/>
    <n v="952"/>
    <x v="19"/>
    <d v="2023-12-07T00:00:00"/>
    <n v="1020"/>
    <x v="1"/>
  </r>
  <r>
    <x v="85"/>
    <x v="85"/>
    <n v="25"/>
    <d v="2023-07-21T00:00:00"/>
    <x v="1"/>
    <n v="7"/>
    <n v="40"/>
    <n v="68.3"/>
    <d v="2024-02-08T00:00:00"/>
    <n v="37.200000000000003"/>
    <d v="2023-07-21T00:00:00"/>
    <m/>
    <m/>
    <m/>
    <x v="1"/>
    <d v="2023-07-21T00:00:00"/>
    <n v="48"/>
    <x v="1"/>
    <d v="2023-07-21T00:00:00"/>
    <n v="48"/>
    <x v="1"/>
    <d v="2023-07-21T00:00:00"/>
    <n v="48"/>
    <x v="1"/>
    <d v="2023-07-21T00:00:00"/>
    <n v="48"/>
    <x v="1"/>
    <d v="2023-07-21T00:00:00"/>
    <n v="48"/>
    <x v="1"/>
    <d v="2023-07-21T00:00:00"/>
    <n v="48"/>
    <x v="1"/>
    <d v="2023-07-21T00:00:00"/>
    <n v="48"/>
    <x v="1"/>
    <d v="2023-07-21T00:00:00"/>
    <n v="48"/>
    <x v="1"/>
    <d v="2023-07-21T00:00:00"/>
    <n v="48"/>
    <x v="20"/>
    <d v="2023-07-24T00:00:00"/>
    <n v="56.3"/>
    <x v="1"/>
  </r>
  <r>
    <x v="86"/>
    <x v="86"/>
    <n v="317"/>
    <d v="2023-07-14T00:00:00"/>
    <x v="1"/>
    <n v="7"/>
    <n v="430"/>
    <n v="1329"/>
    <d v="2024-09-13T00:00:00"/>
    <n v="358.45"/>
    <d v="2023-07-21T00:00:00"/>
    <m/>
    <m/>
    <m/>
    <x v="1"/>
    <d v="2023-07-14T00:00:00"/>
    <n v="444"/>
    <x v="1"/>
    <d v="2023-07-14T00:00:00"/>
    <n v="444"/>
    <x v="1"/>
    <d v="2023-07-14T00:00:00"/>
    <n v="444"/>
    <x v="1"/>
    <d v="2023-07-14T00:00:00"/>
    <n v="444"/>
    <x v="33"/>
    <d v="2023-09-15T00:00:00"/>
    <n v="489"/>
    <x v="29"/>
    <d v="2023-09-21T00:00:00"/>
    <n v="509"/>
    <x v="28"/>
    <d v="2023-09-26T00:00:00"/>
    <n v="539.65"/>
    <x v="23"/>
    <d v="2023-09-27T00:00:00"/>
    <n v="626.45000000000005"/>
    <x v="22"/>
    <d v="2023-09-27T00:00:00"/>
    <n v="626.45000000000005"/>
    <x v="21"/>
    <d v="2023-09-29T00:00:00"/>
    <n v="634.65"/>
    <x v="1"/>
  </r>
  <r>
    <x v="87"/>
    <x v="87"/>
    <n v="265"/>
    <d v="2023-07-10T00:00:00"/>
    <x v="1"/>
    <n v="7"/>
    <n v="403"/>
    <n v="883.8"/>
    <d v="2024-02-26T00:00:00"/>
    <n v="403"/>
    <d v="2023-07-10T00:00:00"/>
    <m/>
    <m/>
    <m/>
    <x v="1"/>
    <d v="2023-07-10T00:00:00"/>
    <n v="427"/>
    <x v="1"/>
    <d v="2023-07-10T00:00:00"/>
    <n v="427"/>
    <x v="1"/>
    <d v="2023-07-10T00:00:00"/>
    <n v="427"/>
    <x v="1"/>
    <d v="2023-07-10T00:00:00"/>
    <n v="427"/>
    <x v="1"/>
    <d v="2023-07-10T00:00:00"/>
    <n v="427"/>
    <x v="1"/>
    <d v="2023-07-10T00:00:00"/>
    <n v="427"/>
    <x v="25"/>
    <d v="2023-07-11T00:00:00"/>
    <n v="504.7"/>
    <x v="4"/>
    <d v="2023-07-11T00:00:00"/>
    <n v="504.7"/>
    <x v="4"/>
    <d v="2023-07-11T00:00:00"/>
    <n v="504.7"/>
    <x v="22"/>
    <d v="2023-07-12T00:00:00"/>
    <n v="547"/>
    <x v="1"/>
  </r>
  <r>
    <x v="88"/>
    <x v="88"/>
    <n v="672"/>
    <d v="2023-07-07T00:00:00"/>
    <x v="1"/>
    <n v="7"/>
    <n v="1300"/>
    <n v="1343.95"/>
    <d v="2023-07-07T00:00:00"/>
    <n v="618.79999999999995"/>
    <d v="2024-06-04T00:00:00"/>
    <m/>
    <m/>
    <m/>
    <x v="1"/>
    <d v="2023-07-07T00:00:00"/>
    <n v="1343.95"/>
    <x v="1"/>
    <d v="2023-07-07T00:00:00"/>
    <n v="1343.95"/>
    <x v="1"/>
    <d v="2023-07-07T00:00:00"/>
    <n v="1343.95"/>
    <x v="1"/>
    <d v="2023-07-07T00:00:00"/>
    <n v="1343.95"/>
    <x v="1"/>
    <d v="2023-07-07T00:00:00"/>
    <n v="1343.95"/>
    <x v="1"/>
    <d v="2023-07-07T00:00:00"/>
    <n v="1343.95"/>
    <x v="1"/>
    <d v="2023-07-07T00:00:00"/>
    <n v="1343.95"/>
    <x v="1"/>
    <d v="2023-07-07T00:00:00"/>
    <n v="1343.95"/>
    <x v="1"/>
    <d v="2023-07-07T00:00:00"/>
    <n v="1343.95"/>
    <x v="0"/>
    <m/>
    <m/>
    <x v="1"/>
  </r>
  <r>
    <x v="89"/>
    <x v="89"/>
    <n v="585"/>
    <d v="2023-07-04T00:00:00"/>
    <x v="1"/>
    <n v="7"/>
    <n v="625"/>
    <n v="839.9"/>
    <d v="2023-09-05T00:00:00"/>
    <n v="48"/>
    <d v="2024-08-16T00:00:00"/>
    <m/>
    <m/>
    <m/>
    <x v="1"/>
    <d v="2023-07-04T00:00:00"/>
    <n v="667"/>
    <x v="22"/>
    <d v="2023-08-31T00:00:00"/>
    <n v="720"/>
    <x v="22"/>
    <d v="2023-09-01T00:00:00"/>
    <n v="765.1"/>
    <x v="28"/>
    <d v="2023-09-05T00:00:00"/>
    <n v="839.9"/>
    <x v="0"/>
    <m/>
    <m/>
    <x v="0"/>
    <m/>
    <m/>
    <x v="0"/>
    <m/>
    <m/>
    <x v="0"/>
    <m/>
    <m/>
    <x v="0"/>
    <m/>
    <m/>
    <x v="0"/>
    <m/>
    <m/>
    <x v="1"/>
  </r>
  <r>
    <x v="90"/>
    <x v="90"/>
    <n v="285"/>
    <d v="2023-06-16T00:00:00"/>
    <x v="1"/>
    <n v="6"/>
    <n v="392.5"/>
    <n v="477"/>
    <d v="2023-06-23T00:00:00"/>
    <n v="245.45"/>
    <d v="2024-06-04T00:00:00"/>
    <m/>
    <m/>
    <m/>
    <x v="1"/>
    <d v="2023-06-16T00:00:00"/>
    <n v="427.5"/>
    <x v="1"/>
    <d v="2023-06-16T00:00:00"/>
    <n v="427.5"/>
    <x v="1"/>
    <d v="2023-06-16T00:00:00"/>
    <n v="427.5"/>
    <x v="1"/>
    <d v="2023-06-16T00:00:00"/>
    <n v="427.5"/>
    <x v="1"/>
    <d v="2023-06-16T00:00:00"/>
    <n v="427.5"/>
    <x v="3"/>
    <d v="2023-06-20T00:00:00"/>
    <n v="463.3"/>
    <x v="0"/>
    <m/>
    <m/>
    <x v="0"/>
    <m/>
    <m/>
    <x v="0"/>
    <m/>
    <m/>
    <x v="0"/>
    <m/>
    <m/>
    <x v="1"/>
  </r>
  <r>
    <x v="91"/>
    <x v="91"/>
    <n v="1080"/>
    <d v="2023-05-09T00:00:00"/>
    <x v="1"/>
    <n v="5"/>
    <n v="1300"/>
    <n v="2564.9499999999998"/>
    <d v="2024-09-13T00:00:00"/>
    <n v="1242"/>
    <d v="2023-05-22T00:00:00"/>
    <m/>
    <m/>
    <m/>
    <x v="1"/>
    <d v="2023-05-09T00:00:00"/>
    <n v="1430"/>
    <x v="1"/>
    <d v="2023-05-09T00:00:00"/>
    <n v="1430"/>
    <x v="1"/>
    <d v="2023-05-09T00:00:00"/>
    <n v="1430"/>
    <x v="34"/>
    <d v="2023-06-07T00:00:00"/>
    <n v="1518.9"/>
    <x v="34"/>
    <d v="2023-06-14T00:00:00"/>
    <n v="1662"/>
    <x v="30"/>
    <d v="2023-06-20T00:00:00"/>
    <n v="1755"/>
    <x v="29"/>
    <d v="2023-07-12T00:00:00"/>
    <n v="1897.9"/>
    <x v="24"/>
    <d v="2023-07-20T00:00:00"/>
    <n v="1944"/>
    <x v="23"/>
    <d v="2024-01-02T00:00:00"/>
    <n v="2164.8000000000002"/>
    <x v="23"/>
    <d v="2024-01-02T00:00:00"/>
    <n v="2164.8000000000002"/>
    <x v="1"/>
  </r>
  <r>
    <x v="92"/>
    <x v="92"/>
    <n v="436"/>
    <d v="2023-04-18T00:00:00"/>
    <x v="1"/>
    <n v="4"/>
    <n v="436"/>
    <n v="732.1"/>
    <d v="2023-07-14T00:00:00"/>
    <n v="348"/>
    <d v="2023-05-09T00:00:00"/>
    <m/>
    <m/>
    <m/>
    <x v="16"/>
    <d v="2023-06-06T00:00:00"/>
    <n v="488"/>
    <x v="23"/>
    <d v="2023-06-13T00:00:00"/>
    <n v="538.9"/>
    <x v="30"/>
    <d v="2023-06-21T00:00:00"/>
    <n v="582.25"/>
    <x v="35"/>
    <d v="2023-07-04T00:00:00"/>
    <n v="616"/>
    <x v="35"/>
    <d v="2023-07-07T00:00:00"/>
    <n v="681.7"/>
    <x v="31"/>
    <d v="2023-07-13T00:00:00"/>
    <n v="714.15"/>
    <x v="0"/>
    <m/>
    <m/>
    <x v="0"/>
    <m/>
    <m/>
    <x v="0"/>
    <m/>
    <m/>
    <x v="0"/>
    <m/>
    <m/>
    <x v="1"/>
  </r>
  <r>
    <x v="93"/>
    <x v="93"/>
    <n v="590"/>
    <d v="2023-03-14T00:00:00"/>
    <x v="1"/>
    <n v="3"/>
    <n v="620"/>
    <n v="1150"/>
    <d v="2023-10-13T00:00:00"/>
    <n v="560"/>
    <d v="2023-03-14T00:00:00"/>
    <m/>
    <m/>
    <m/>
    <x v="17"/>
    <d v="2023-03-23T00:00:00"/>
    <n v="659.85"/>
    <x v="24"/>
    <d v="2023-05-02T00:00:00"/>
    <n v="730"/>
    <x v="31"/>
    <d v="2023-05-10T00:00:00"/>
    <n v="826.45"/>
    <x v="36"/>
    <d v="2023-05-10T00:00:00"/>
    <n v="826.45"/>
    <x v="36"/>
    <d v="2023-05-25T00:00:00"/>
    <n v="924.25"/>
    <x v="32"/>
    <d v="2023-06-27T00:00:00"/>
    <n v="959.5"/>
    <x v="30"/>
    <d v="2023-09-07T00:00:00"/>
    <n v="1045"/>
    <x v="25"/>
    <d v="2023-09-26T00:00:00"/>
    <n v="1096.4000000000001"/>
    <x v="24"/>
    <d v="2023-10-13T00:00:00"/>
    <n v="1150"/>
    <x v="0"/>
    <m/>
    <m/>
    <x v="1"/>
  </r>
  <r>
    <x v="94"/>
    <x v="94"/>
    <n v="94"/>
    <d v="2023-01-04T00:00:00"/>
    <x v="1"/>
    <n v="1"/>
    <n v="103"/>
    <n v="116.8"/>
    <d v="2023-01-04T00:00:00"/>
    <n v="71.099999999999994"/>
    <d v="2024-06-04T00:00:00"/>
    <m/>
    <m/>
    <m/>
    <x v="1"/>
    <d v="2023-01-04T00:00:00"/>
    <n v="116.8"/>
    <x v="1"/>
    <d v="2023-01-04T00:00:00"/>
    <n v="116.8"/>
    <x v="0"/>
    <m/>
    <m/>
    <x v="0"/>
    <m/>
    <m/>
    <x v="0"/>
    <m/>
    <m/>
    <x v="0"/>
    <m/>
    <m/>
    <x v="0"/>
    <m/>
    <m/>
    <x v="0"/>
    <m/>
    <m/>
    <x v="0"/>
    <m/>
    <m/>
    <x v="0"/>
    <m/>
    <m/>
    <x v="1"/>
  </r>
  <r>
    <x v="95"/>
    <x v="95"/>
    <n v="247"/>
    <d v="2022-12-30T00:00:00"/>
    <x v="2"/>
    <n v="12"/>
    <n v="244"/>
    <n v="282"/>
    <d v="2024-09-16T00:00:00"/>
    <n v="116"/>
    <d v="2023-03-29T00:00:00"/>
    <m/>
    <m/>
    <m/>
    <x v="18"/>
    <d v="2024-09-16T00:00:00"/>
    <n v="282"/>
    <x v="0"/>
    <m/>
    <m/>
    <x v="0"/>
    <m/>
    <m/>
    <x v="0"/>
    <m/>
    <m/>
    <x v="0"/>
    <m/>
    <m/>
    <x v="0"/>
    <m/>
    <m/>
    <x v="0"/>
    <m/>
    <m/>
    <x v="0"/>
    <m/>
    <m/>
    <x v="0"/>
    <m/>
    <m/>
    <x v="0"/>
    <m/>
    <m/>
    <x v="1"/>
  </r>
  <r>
    <x v="96"/>
    <x v="96"/>
    <n v="366"/>
    <d v="2022-12-29T00:00:00"/>
    <x v="2"/>
    <n v="12"/>
    <n v="367"/>
    <n v="1189"/>
    <d v="2024-08-27T00:00:00"/>
    <n v="272"/>
    <d v="2023-03-20T00:00:00"/>
    <m/>
    <m/>
    <m/>
    <x v="19"/>
    <d v="2023-07-28T00:00:00"/>
    <n v="404"/>
    <x v="25"/>
    <d v="2023-08-25T00:00:00"/>
    <n v="439.7"/>
    <x v="32"/>
    <d v="2023-09-11T00:00:00"/>
    <n v="482.9"/>
    <x v="37"/>
    <d v="2023-11-09T00:00:00"/>
    <n v="522.45000000000005"/>
    <x v="37"/>
    <d v="2023-11-17T00:00:00"/>
    <n v="563.70000000000005"/>
    <x v="33"/>
    <d v="2024-01-30T00:00:00"/>
    <n v="603.95000000000005"/>
    <x v="31"/>
    <d v="2024-01-31T00:00:00"/>
    <n v="629"/>
    <x v="26"/>
    <d v="2024-02-06T00:00:00"/>
    <n v="664.6"/>
    <x v="25"/>
    <d v="2024-02-12T00:00:00"/>
    <n v="701"/>
    <x v="24"/>
    <d v="2024-04-30T00:00:00"/>
    <n v="765.65"/>
    <x v="1"/>
  </r>
  <r>
    <x v="97"/>
    <x v="97"/>
    <n v="506"/>
    <d v="2022-12-23T00:00:00"/>
    <x v="2"/>
    <n v="12"/>
    <n v="471"/>
    <n v="905"/>
    <d v="2024-02-07T00:00:00"/>
    <n v="431.15"/>
    <d v="2022-12-26T00:00:00"/>
    <m/>
    <m/>
    <m/>
    <x v="20"/>
    <d v="2023-01-06T00:00:00"/>
    <n v="581.70000000000005"/>
    <x v="26"/>
    <d v="2023-01-19T00:00:00"/>
    <n v="622.9"/>
    <x v="33"/>
    <d v="2023-02-13T00:00:00"/>
    <n v="674.95"/>
    <x v="31"/>
    <d v="2023-05-15T00:00:00"/>
    <n v="718"/>
    <x v="38"/>
    <d v="2023-06-28T00:00:00"/>
    <n v="766"/>
    <x v="34"/>
    <d v="2023-09-08T00:00:00"/>
    <n v="863.3"/>
    <x v="32"/>
    <d v="2023-09-08T00:00:00"/>
    <n v="863.3"/>
    <x v="0"/>
    <m/>
    <m/>
    <x v="0"/>
    <m/>
    <m/>
    <x v="0"/>
    <m/>
    <m/>
    <x v="1"/>
  </r>
  <r>
    <x v="98"/>
    <x v="98"/>
    <n v="357"/>
    <d v="2022-12-22T00:00:00"/>
    <x v="2"/>
    <n v="12"/>
    <n v="361"/>
    <n v="699"/>
    <d v="2024-01-09T00:00:00"/>
    <n v="305.35000000000002"/>
    <d v="2022-12-26T00:00:00"/>
    <m/>
    <m/>
    <m/>
    <x v="21"/>
    <d v="2023-01-17T00:00:00"/>
    <n v="394"/>
    <x v="26"/>
    <d v="2023-01-18T00:00:00"/>
    <n v="429.9"/>
    <x v="34"/>
    <d v="2023-06-09T00:00:00"/>
    <n v="474.9"/>
    <x v="38"/>
    <d v="2023-07-28T00:00:00"/>
    <n v="508.8"/>
    <x v="39"/>
    <d v="2024-01-05T00:00:00"/>
    <n v="567.95000000000005"/>
    <x v="35"/>
    <d v="2024-01-08T00:00:00"/>
    <n v="665.25"/>
    <x v="33"/>
    <d v="2024-01-08T00:00:00"/>
    <n v="665.25"/>
    <x v="27"/>
    <d v="2024-01-08T00:00:00"/>
    <n v="665.25"/>
    <x v="26"/>
    <d v="2024-01-09T00:00:00"/>
    <n v="699"/>
    <x v="0"/>
    <m/>
    <m/>
    <x v="1"/>
  </r>
  <r>
    <x v="99"/>
    <x v="99"/>
    <n v="270"/>
    <d v="2022-12-23T00:00:00"/>
    <x v="2"/>
    <n v="12"/>
    <n v="273"/>
    <n v="625"/>
    <d v="2024-08-22T00:00:00"/>
    <n v="180.1"/>
    <d v="2023-01-06T00:00:00"/>
    <m/>
    <m/>
    <m/>
    <x v="22"/>
    <d v="2023-05-17T00:00:00"/>
    <n v="304"/>
    <x v="27"/>
    <d v="2023-06-28T00:00:00"/>
    <n v="326.39999999999998"/>
    <x v="35"/>
    <d v="2023-10-06T00:00:00"/>
    <n v="351.65"/>
    <x v="39"/>
    <d v="2024-04-08T00:00:00"/>
    <n v="405.05"/>
    <x v="40"/>
    <d v="2024-04-08T00:00:00"/>
    <n v="405.05"/>
    <x v="36"/>
    <d v="2024-04-10T00:00:00"/>
    <n v="435.6"/>
    <x v="34"/>
    <d v="2024-05-17T00:00:00"/>
    <n v="461.4"/>
    <x v="28"/>
    <d v="2024-06-18T00:00:00"/>
    <n v="490"/>
    <x v="27"/>
    <d v="2024-07-09T00:00:00"/>
    <n v="533.79999999999995"/>
    <x v="25"/>
    <d v="2024-07-10T00:00:00"/>
    <n v="542.9"/>
    <x v="1"/>
  </r>
  <r>
    <x v="100"/>
    <x v="100"/>
    <n v="577"/>
    <d v="2022-12-12T00:00:00"/>
    <x v="2"/>
    <n v="12"/>
    <n v="575"/>
    <n v="722.65"/>
    <d v="2023-08-04T00:00:00"/>
    <n v="454"/>
    <d v="2024-06-04T00:00:00"/>
    <m/>
    <m/>
    <m/>
    <x v="23"/>
    <d v="2023-07-12T00:00:00"/>
    <n v="644.4"/>
    <x v="28"/>
    <d v="2023-08-01T00:00:00"/>
    <n v="692.5"/>
    <x v="0"/>
    <m/>
    <m/>
    <x v="0"/>
    <m/>
    <m/>
    <x v="0"/>
    <m/>
    <m/>
    <x v="0"/>
    <m/>
    <m/>
    <x v="0"/>
    <m/>
    <m/>
    <x v="0"/>
    <m/>
    <m/>
    <x v="0"/>
    <m/>
    <m/>
    <x v="0"/>
    <m/>
    <m/>
    <x v="1"/>
  </r>
  <r>
    <x v="101"/>
    <x v="101"/>
    <n v="237"/>
    <d v="2022-12-08T00:00:00"/>
    <x v="2"/>
    <n v="12"/>
    <n v="266.05"/>
    <n v="389.65"/>
    <d v="2024-08-28T00:00:00"/>
    <n v="137"/>
    <d v="2023-03-29T00:00:00"/>
    <m/>
    <m/>
    <m/>
    <x v="1"/>
    <d v="2022-12-08T00:00:00"/>
    <n v="279"/>
    <x v="29"/>
    <d v="2023-12-11T00:00:00"/>
    <n v="287.85000000000002"/>
    <x v="36"/>
    <d v="2024-07-03T00:00:00"/>
    <n v="328.46"/>
    <x v="40"/>
    <d v="2024-07-25T00:00:00"/>
    <n v="347.4"/>
    <x v="41"/>
    <d v="2024-08-12T00:00:00"/>
    <n v="375.45"/>
    <x v="37"/>
    <d v="2024-08-26T00:00:00"/>
    <n v="382"/>
    <x v="0"/>
    <m/>
    <m/>
    <x v="0"/>
    <m/>
    <m/>
    <x v="0"/>
    <m/>
    <m/>
    <x v="0"/>
    <m/>
    <m/>
    <x v="1"/>
  </r>
  <r>
    <x v="102"/>
    <x v="102"/>
    <n v="541"/>
    <d v="2022-11-24T00:00:00"/>
    <x v="2"/>
    <n v="11"/>
    <n v="555"/>
    <n v="790.35"/>
    <d v="2024-08-28T00:00:00"/>
    <n v="416.05"/>
    <d v="2023-04-28T00:00:00"/>
    <m/>
    <m/>
    <m/>
    <x v="2"/>
    <d v="2022-11-25T00:00:00"/>
    <n v="597"/>
    <x v="30"/>
    <d v="2023-07-18T00:00:00"/>
    <n v="658.95"/>
    <x v="37"/>
    <d v="2024-01-08T00:00:00"/>
    <n v="714.8"/>
    <x v="41"/>
    <d v="2024-08-16T00:00:00"/>
    <n v="770"/>
    <x v="0"/>
    <m/>
    <m/>
    <x v="0"/>
    <m/>
    <m/>
    <x v="0"/>
    <m/>
    <m/>
    <x v="0"/>
    <m/>
    <m/>
    <x v="0"/>
    <m/>
    <m/>
    <x v="0"/>
    <m/>
    <m/>
    <x v="1"/>
  </r>
  <r>
    <x v="103"/>
    <x v="103"/>
    <n v="65"/>
    <d v="2022-11-23T00:00:00"/>
    <x v="2"/>
    <n v="11"/>
    <n v="60"/>
    <n v="224.65"/>
    <d v="2024-09-13T00:00:00"/>
    <n v="38.4"/>
    <d v="2023-04-13T00:00:00"/>
    <m/>
    <m/>
    <m/>
    <x v="24"/>
    <d v="2023-07-26T00:00:00"/>
    <n v="72.45"/>
    <x v="31"/>
    <d v="2023-12-05T00:00:00"/>
    <n v="81.8"/>
    <x v="38"/>
    <d v="2023-12-07T00:00:00"/>
    <n v="85"/>
    <x v="42"/>
    <d v="2023-12-12T00:00:00"/>
    <n v="105.3"/>
    <x v="42"/>
    <d v="2023-12-12T00:00:00"/>
    <n v="105.3"/>
    <x v="38"/>
    <d v="2023-12-12T00:00:00"/>
    <n v="105.3"/>
    <x v="35"/>
    <d v="2023-12-13T00:00:00"/>
    <n v="112.4"/>
    <x v="29"/>
    <d v="2024-01-02T00:00:00"/>
    <n v="118"/>
    <x v="28"/>
    <d v="2024-01-03T00:00:00"/>
    <n v="137.85"/>
    <x v="26"/>
    <d v="2024-01-03T00:00:00"/>
    <n v="137.85"/>
    <x v="1"/>
  </r>
  <r>
    <x v="104"/>
    <x v="104"/>
    <n v="587"/>
    <d v="2022-11-22T00:00:00"/>
    <x v="2"/>
    <n v="11"/>
    <n v="778"/>
    <n v="5742"/>
    <d v="2024-09-18T00:00:00"/>
    <n v="666.8"/>
    <d v="2022-12-26T00:00:00"/>
    <m/>
    <m/>
    <m/>
    <x v="1"/>
    <d v="2022-11-22T00:00:00"/>
    <n v="786"/>
    <x v="1"/>
    <d v="2022-11-22T00:00:00"/>
    <n v="786"/>
    <x v="1"/>
    <d v="2022-11-22T00:00:00"/>
    <n v="786"/>
    <x v="43"/>
    <d v="2023-01-19T00:00:00"/>
    <n v="825.8"/>
    <x v="43"/>
    <d v="2023-02-06T00:00:00"/>
    <n v="904"/>
    <x v="39"/>
    <d v="2023-02-21T00:00:00"/>
    <n v="951.25"/>
    <x v="36"/>
    <d v="2023-04-03T00:00:00"/>
    <n v="1070"/>
    <x v="30"/>
    <d v="2023-04-03T00:00:00"/>
    <n v="1070"/>
    <x v="29"/>
    <d v="2023-05-17T00:00:00"/>
    <n v="1190"/>
    <x v="27"/>
    <d v="2023-05-17T00:00:00"/>
    <n v="1190"/>
    <x v="1"/>
  </r>
  <r>
    <x v="105"/>
    <x v="105"/>
    <n v="407"/>
    <d v="2022-11-21T00:00:00"/>
    <x v="2"/>
    <n v="11"/>
    <n v="450"/>
    <n v="837.7"/>
    <d v="2024-02-27T00:00:00"/>
    <n v="440.2"/>
    <d v="2022-11-21T00:00:00"/>
    <m/>
    <m/>
    <m/>
    <x v="1"/>
    <d v="2022-11-21T00:00:00"/>
    <n v="476"/>
    <x v="20"/>
    <d v="2022-11-24T00:00:00"/>
    <n v="509"/>
    <x v="15"/>
    <d v="2022-11-25T00:00:00"/>
    <n v="538.79999999999995"/>
    <x v="44"/>
    <d v="2023-01-05T00:00:00"/>
    <n v="570.79999999999995"/>
    <x v="44"/>
    <d v="2023-01-13T00:00:00"/>
    <n v="629"/>
    <x v="40"/>
    <d v="2023-01-16T00:00:00"/>
    <n v="653.6"/>
    <x v="37"/>
    <d v="2023-02-13T00:00:00"/>
    <n v="731.8"/>
    <x v="31"/>
    <d v="2024-02-19T00:00:00"/>
    <n v="744"/>
    <x v="30"/>
    <d v="2024-02-22T00:00:00"/>
    <n v="779.35"/>
    <x v="28"/>
    <d v="2024-02-26T00:00:00"/>
    <n v="833.85"/>
    <x v="1"/>
  </r>
  <r>
    <x v="106"/>
    <x v="106"/>
    <n v="300"/>
    <d v="2022-11-16T00:00:00"/>
    <x v="2"/>
    <n v="11"/>
    <n v="322.8"/>
    <n v="933.4"/>
    <d v="2024-09-18T00:00:00"/>
    <n v="303"/>
    <d v="2022-11-18T00:00:00"/>
    <m/>
    <m/>
    <m/>
    <x v="1"/>
    <d v="2022-11-16T00:00:00"/>
    <n v="334.7"/>
    <x v="3"/>
    <d v="2022-11-24T00:00:00"/>
    <n v="379.2"/>
    <x v="25"/>
    <d v="2022-11-25T00:00:00"/>
    <n v="410"/>
    <x v="45"/>
    <d v="2022-11-28T00:00:00"/>
    <n v="431"/>
    <x v="45"/>
    <d v="2023-07-19T00:00:00"/>
    <n v="468.9"/>
    <x v="41"/>
    <d v="2023-07-25T00:00:00"/>
    <n v="491.9"/>
    <x v="38"/>
    <d v="2023-09-05T00:00:00"/>
    <n v="519"/>
    <x v="32"/>
    <d v="2023-11-15T00:00:00"/>
    <n v="553"/>
    <x v="28"/>
    <d v="2023-12-27T00:00:00"/>
    <n v="580"/>
    <x v="29"/>
    <d v="2024-01-30T00:00:00"/>
    <n v="605.9"/>
    <x v="1"/>
  </r>
  <r>
    <x v="107"/>
    <x v="107"/>
    <n v="336"/>
    <d v="2022-11-16T00:00:00"/>
    <x v="2"/>
    <n v="11"/>
    <n v="401"/>
    <n v="1513.9"/>
    <d v="2024-02-16T00:00:00"/>
    <n v="390.55"/>
    <d v="2022-11-16T00:00:00"/>
    <m/>
    <m/>
    <m/>
    <x v="1"/>
    <d v="2022-11-16T00:00:00"/>
    <n v="424.65"/>
    <x v="1"/>
    <d v="2022-11-16T00:00:00"/>
    <n v="424.65"/>
    <x v="39"/>
    <d v="2022-11-17T00:00:00"/>
    <n v="455.7"/>
    <x v="46"/>
    <d v="2022-11-24T00:00:00"/>
    <n v="487.75"/>
    <x v="46"/>
    <d v="2023-02-16T00:00:00"/>
    <n v="510"/>
    <x v="32"/>
    <d v="2023-03-01T00:00:00"/>
    <n v="538"/>
    <x v="39"/>
    <d v="2023-05-16T00:00:00"/>
    <n v="580"/>
    <x v="33"/>
    <d v="2023-05-29T00:00:00"/>
    <n v="608"/>
    <x v="31"/>
    <d v="2023-06-13T00:00:00"/>
    <n v="639"/>
    <x v="30"/>
    <d v="2023-06-15T00:00:00"/>
    <n v="682.9"/>
    <x v="1"/>
  </r>
  <r>
    <x v="108"/>
    <x v="108"/>
    <n v="368"/>
    <d v="2022-11-15T00:00:00"/>
    <x v="2"/>
    <n v="11"/>
    <n v="359.5"/>
    <n v="691"/>
    <d v="2023-08-01T00:00:00"/>
    <n v="281.2"/>
    <d v="2024-08-16T00:00:00"/>
    <m/>
    <m/>
    <m/>
    <x v="25"/>
    <d v="2022-12-14T00:00:00"/>
    <n v="415.8"/>
    <x v="32"/>
    <d v="2023-02-08T00:00:00"/>
    <n v="444.4"/>
    <x v="40"/>
    <d v="2023-05-19T00:00:00"/>
    <n v="482.65"/>
    <x v="47"/>
    <d v="2023-05-23T00:00:00"/>
    <n v="519.79999999999995"/>
    <x v="47"/>
    <d v="2023-06-23T00:00:00"/>
    <n v="565"/>
    <x v="42"/>
    <d v="2023-07-10T00:00:00"/>
    <n v="612"/>
    <x v="40"/>
    <d v="2023-07-17T00:00:00"/>
    <n v="637"/>
    <x v="34"/>
    <d v="2023-07-27T00:00:00"/>
    <n v="665.95"/>
    <x v="0"/>
    <m/>
    <m/>
    <x v="0"/>
    <m/>
    <m/>
    <x v="1"/>
  </r>
  <r>
    <x v="109"/>
    <x v="109"/>
    <n v="80"/>
    <d v="2022-10-20T00:00:00"/>
    <x v="2"/>
    <n v="10"/>
    <n v="84.5"/>
    <n v="124.2"/>
    <d v="2024-01-12T00:00:00"/>
    <n v="60.1"/>
    <d v="2023-03-28T00:00:00"/>
    <m/>
    <m/>
    <m/>
    <x v="1"/>
    <d v="2022-10-20T00:00:00"/>
    <n v="100"/>
    <x v="1"/>
    <d v="2022-10-20T00:00:00"/>
    <n v="100"/>
    <x v="41"/>
    <d v="2023-12-13T00:00:00"/>
    <n v="109.95"/>
    <x v="48"/>
    <d v="2023-12-14T00:00:00"/>
    <n v="113.95"/>
    <x v="48"/>
    <d v="2024-01-08T00:00:00"/>
    <n v="122.4"/>
    <x v="0"/>
    <m/>
    <m/>
    <x v="0"/>
    <m/>
    <m/>
    <x v="0"/>
    <m/>
    <m/>
    <x v="0"/>
    <m/>
    <m/>
    <x v="0"/>
    <m/>
    <m/>
    <x v="1"/>
  </r>
  <r>
    <x v="110"/>
    <x v="110"/>
    <n v="59"/>
    <d v="2022-10-17T00:00:00"/>
    <x v="2"/>
    <n v="10"/>
    <n v="90"/>
    <n v="262"/>
    <d v="2024-07-09T00:00:00"/>
    <n v="61.6"/>
    <d v="2023-03-28T00:00:00"/>
    <m/>
    <m/>
    <m/>
    <x v="1"/>
    <d v="2022-10-17T00:00:00"/>
    <n v="91"/>
    <x v="1"/>
    <d v="2022-10-17T00:00:00"/>
    <n v="91"/>
    <x v="1"/>
    <d v="2022-10-17T00:00:00"/>
    <n v="91"/>
    <x v="1"/>
    <d v="2022-10-17T00:00:00"/>
    <n v="91"/>
    <x v="1"/>
    <d v="2022-10-17T00:00:00"/>
    <n v="91"/>
    <x v="43"/>
    <d v="2022-10-19T00:00:00"/>
    <n v="102.2"/>
    <x v="41"/>
    <d v="2022-10-19T00:00:00"/>
    <n v="102.2"/>
    <x v="35"/>
    <d v="2023-07-21T00:00:00"/>
    <n v="109.25"/>
    <x v="32"/>
    <d v="2023-07-24T00:00:00"/>
    <n v="117.5"/>
    <x v="31"/>
    <d v="2023-08-02T00:00:00"/>
    <n v="119.4"/>
    <x v="1"/>
  </r>
  <r>
    <x v="111"/>
    <x v="111"/>
    <n v="330"/>
    <d v="2022-09-26T00:00:00"/>
    <x v="2"/>
    <n v="9"/>
    <n v="450"/>
    <n v="613.85"/>
    <d v="2024-07-08T00:00:00"/>
    <n v="309"/>
    <d v="2023-03-27T00:00:00"/>
    <m/>
    <m/>
    <m/>
    <x v="1"/>
    <d v="2022-09-26T00:00:00"/>
    <n v="527.65"/>
    <x v="1"/>
    <d v="2022-09-26T00:00:00"/>
    <n v="527.65"/>
    <x v="1"/>
    <d v="2022-09-26T00:00:00"/>
    <n v="527.65"/>
    <x v="1"/>
    <d v="2022-09-26T00:00:00"/>
    <n v="527.65"/>
    <x v="1"/>
    <d v="2022-09-26T00:00:00"/>
    <n v="527.65"/>
    <x v="44"/>
    <d v="2024-06-07T00:00:00"/>
    <n v="533.4"/>
    <x v="42"/>
    <d v="2024-06-11T00:00:00"/>
    <n v="572"/>
    <x v="36"/>
    <d v="2024-06-24T00:00:00"/>
    <n v="595.79999999999995"/>
    <x v="0"/>
    <m/>
    <m/>
    <x v="0"/>
    <m/>
    <m/>
    <x v="1"/>
  </r>
  <r>
    <x v="112"/>
    <x v="112"/>
    <n v="326"/>
    <d v="2022-09-06T00:00:00"/>
    <x v="2"/>
    <n v="9"/>
    <n v="508.7"/>
    <n v="847"/>
    <d v="2023-08-02T00:00:00"/>
    <n v="348"/>
    <d v="2022-12-27T00:00:00"/>
    <m/>
    <m/>
    <m/>
    <x v="1"/>
    <d v="2022-09-06T00:00:00"/>
    <n v="549"/>
    <x v="1"/>
    <d v="2022-09-06T00:00:00"/>
    <n v="549"/>
    <x v="1"/>
    <d v="2022-09-06T00:00:00"/>
    <n v="549"/>
    <x v="1"/>
    <d v="2022-09-06T00:00:00"/>
    <n v="549"/>
    <x v="1"/>
    <d v="2022-09-06T00:00:00"/>
    <n v="549"/>
    <x v="1"/>
    <d v="2022-09-06T00:00:00"/>
    <n v="549"/>
    <x v="43"/>
    <d v="2023-05-24T00:00:00"/>
    <n v="591.85"/>
    <x v="37"/>
    <d v="2023-05-24T00:00:00"/>
    <n v="591.85"/>
    <x v="33"/>
    <d v="2023-06-07T00:00:00"/>
    <n v="626"/>
    <x v="32"/>
    <d v="2023-06-30T00:00:00"/>
    <n v="655"/>
    <x v="1"/>
  </r>
  <r>
    <x v="113"/>
    <x v="113"/>
    <n v="220"/>
    <d v="2022-08-26T00:00:00"/>
    <x v="2"/>
    <n v="8"/>
    <n v="260"/>
    <n v="705.2"/>
    <d v="2023-12-19T00:00:00"/>
    <n v="248.1"/>
    <d v="2023-01-30T00:00:00"/>
    <m/>
    <m/>
    <m/>
    <x v="1"/>
    <d v="2022-08-26T00:00:00"/>
    <n v="312"/>
    <x v="1"/>
    <d v="2022-08-26T00:00:00"/>
    <n v="312"/>
    <x v="1"/>
    <d v="2022-08-26T00:00:00"/>
    <n v="312"/>
    <x v="1"/>
    <d v="2022-08-26T00:00:00"/>
    <n v="312"/>
    <x v="49"/>
    <d v="2022-08-29T00:00:00"/>
    <n v="342.8"/>
    <x v="45"/>
    <d v="2023-05-22T00:00:00"/>
    <n v="368"/>
    <x v="44"/>
    <d v="2023-05-23T00:00:00"/>
    <n v="378"/>
    <x v="35"/>
    <d v="2023-05-30T00:00:00"/>
    <n v="397.8"/>
    <x v="34"/>
    <d v="2023-06-14T00:00:00"/>
    <n v="428.8"/>
    <x v="33"/>
    <d v="2023-06-15T00:00:00"/>
    <n v="461"/>
    <x v="1"/>
  </r>
  <r>
    <x v="114"/>
    <x v="114"/>
    <n v="642"/>
    <d v="2022-06-03T00:00:00"/>
    <x v="2"/>
    <n v="6"/>
    <n v="704"/>
    <n v="1209"/>
    <d v="2023-06-22T00:00:00"/>
    <n v="701"/>
    <d v="2022-06-03T00:00:00"/>
    <m/>
    <m/>
    <m/>
    <x v="1"/>
    <d v="2022-06-03T00:00:00"/>
    <n v="774.4"/>
    <x v="1"/>
    <d v="2022-06-03T00:00:00"/>
    <n v="774.4"/>
    <x v="42"/>
    <d v="2022-07-07T00:00:00"/>
    <n v="874"/>
    <x v="44"/>
    <d v="2022-07-18T00:00:00"/>
    <n v="933"/>
    <x v="32"/>
    <d v="2022-07-19T00:00:00"/>
    <n v="987"/>
    <x v="32"/>
    <d v="2022-09-16T00:00:00"/>
    <n v="1048.9000000000001"/>
    <x v="45"/>
    <d v="2023-06-21T00:00:00"/>
    <n v="1104.5"/>
    <x v="38"/>
    <d v="2023-06-22T00:00:00"/>
    <n v="1209"/>
    <x v="0"/>
    <m/>
    <m/>
    <x v="0"/>
    <m/>
    <m/>
    <x v="1"/>
  </r>
  <r>
    <x v="115"/>
    <x v="115"/>
    <n v="256"/>
    <d v="2022-06-01T00:00:00"/>
    <x v="2"/>
    <n v="6"/>
    <n v="270"/>
    <n v="927.7"/>
    <d v="2024-07-29T00:00:00"/>
    <n v="206.8"/>
    <d v="2023-03-27T00:00:00"/>
    <m/>
    <m/>
    <m/>
    <x v="26"/>
    <d v="2022-07-25T00:00:00"/>
    <n v="296.8"/>
    <x v="33"/>
    <d v="2022-07-26T00:00:00"/>
    <n v="337"/>
    <x v="43"/>
    <d v="2022-07-26T00:00:00"/>
    <n v="337"/>
    <x v="43"/>
    <d v="2022-07-29T00:00:00"/>
    <n v="373.45"/>
    <x v="50"/>
    <d v="2022-08-11T00:00:00"/>
    <n v="398.9"/>
    <x v="46"/>
    <d v="2023-05-19T00:00:00"/>
    <n v="415"/>
    <x v="46"/>
    <d v="2023-06-01T00:00:00"/>
    <n v="440"/>
    <x v="39"/>
    <d v="2023-07-05T00:00:00"/>
    <n v="471.95"/>
    <x v="35"/>
    <d v="2023-07-11T00:00:00"/>
    <n v="489.3"/>
    <x v="34"/>
    <d v="2023-08-17T00:00:00"/>
    <n v="528.6"/>
    <x v="1"/>
  </r>
  <r>
    <x v="116"/>
    <x v="116"/>
    <n v="878"/>
    <d v="2022-05-30T00:00:00"/>
    <x v="2"/>
    <n v="5"/>
    <n v="825"/>
    <n v="3524.95"/>
    <d v="2024-09-13T00:00:00"/>
    <n v="707.45"/>
    <d v="2022-06-06T00:00:00"/>
    <m/>
    <m/>
    <m/>
    <x v="27"/>
    <d v="2022-07-22T00:00:00"/>
    <n v="992.7"/>
    <x v="22"/>
    <d v="2022-07-27T00:00:00"/>
    <n v="1075"/>
    <x v="44"/>
    <d v="2022-08-16T00:00:00"/>
    <n v="1147"/>
    <x v="49"/>
    <d v="2023-04-17T00:00:00"/>
    <n v="1246.5"/>
    <x v="51"/>
    <d v="2023-04-28T00:00:00"/>
    <n v="1339.55"/>
    <x v="47"/>
    <d v="2023-05-12T00:00:00"/>
    <n v="1477.95"/>
    <x v="47"/>
    <d v="2023-07-03T00:00:00"/>
    <n v="1513.85"/>
    <x v="40"/>
    <d v="2023-08-07T00:00:00"/>
    <n v="1700"/>
    <x v="36"/>
    <d v="2023-08-07T00:00:00"/>
    <n v="1700"/>
    <x v="35"/>
    <d v="2023-09-14T00:00:00"/>
    <n v="1798.45"/>
    <x v="1"/>
  </r>
  <r>
    <x v="117"/>
    <x v="117"/>
    <n v="42"/>
    <d v="2022-05-27T00:00:00"/>
    <x v="2"/>
    <n v="5"/>
    <n v="44"/>
    <n v="98.35"/>
    <d v="2024-07-31T00:00:00"/>
    <n v="37.450000000000003"/>
    <d v="2022-06-24T00:00:00"/>
    <m/>
    <m/>
    <m/>
    <x v="1"/>
    <d v="2022-05-27T00:00:00"/>
    <n v="47.25"/>
    <x v="34"/>
    <d v="2022-07-25T00:00:00"/>
    <n v="50.5"/>
    <x v="45"/>
    <d v="2022-08-01T00:00:00"/>
    <n v="54.9"/>
    <x v="50"/>
    <d v="2022-09-01T00:00:00"/>
    <n v="61.2"/>
    <x v="52"/>
    <d v="2022-09-06T00:00:00"/>
    <n v="63.65"/>
    <x v="48"/>
    <d v="2022-09-14T00:00:00"/>
    <n v="67.25"/>
    <x v="48"/>
    <d v="2022-09-15T00:00:00"/>
    <n v="72"/>
    <x v="41"/>
    <d v="2024-01-02T00:00:00"/>
    <n v="77.45"/>
    <x v="37"/>
    <d v="2024-01-03T00:00:00"/>
    <n v="80.95"/>
    <x v="36"/>
    <d v="2024-02-08T00:00:00"/>
    <n v="85.9"/>
    <x v="1"/>
  </r>
  <r>
    <x v="118"/>
    <x v="118"/>
    <n v="487"/>
    <d v="2022-05-24T00:00:00"/>
    <x v="2"/>
    <n v="5"/>
    <n v="495.2"/>
    <n v="708"/>
    <d v="2022-07-21T00:00:00"/>
    <n v="291"/>
    <d v="2023-01-27T00:00:00"/>
    <m/>
    <m/>
    <m/>
    <x v="1"/>
    <d v="2022-05-24T00:00:00"/>
    <n v="568.9"/>
    <x v="17"/>
    <d v="2022-06-02T00:00:00"/>
    <n v="617.35"/>
    <x v="46"/>
    <d v="2022-07-19T00:00:00"/>
    <n v="645"/>
    <x v="36"/>
    <d v="2022-07-20T00:00:00"/>
    <n v="683"/>
    <x v="0"/>
    <m/>
    <m/>
    <x v="0"/>
    <m/>
    <m/>
    <x v="0"/>
    <m/>
    <m/>
    <x v="0"/>
    <m/>
    <m/>
    <x v="0"/>
    <m/>
    <m/>
    <x v="0"/>
    <m/>
    <m/>
    <x v="1"/>
  </r>
  <r>
    <x v="119"/>
    <x v="119"/>
    <n v="630"/>
    <d v="2022-05-20T00:00:00"/>
    <x v="2"/>
    <n v="5"/>
    <n v="650"/>
    <n v="2737.7"/>
    <d v="2024-08-14T00:00:00"/>
    <n v="466.6"/>
    <d v="2022-08-02T00:00:00"/>
    <m/>
    <m/>
    <m/>
    <x v="28"/>
    <d v="2022-09-08T00:00:00"/>
    <n v="694"/>
    <x v="35"/>
    <d v="2022-11-02T00:00:00"/>
    <n v="840.2"/>
    <x v="47"/>
    <d v="2022-11-02T00:00:00"/>
    <n v="840.2"/>
    <x v="51"/>
    <d v="2022-11-29T00:00:00"/>
    <n v="897.3"/>
    <x v="53"/>
    <d v="2022-12-02T00:00:00"/>
    <n v="955"/>
    <x v="49"/>
    <d v="2022-12-07T00:00:00"/>
    <n v="1024.9000000000001"/>
    <x v="49"/>
    <d v="2023-01-02T00:00:00"/>
    <n v="1087.95"/>
    <x v="42"/>
    <d v="2023-07-21T00:00:00"/>
    <n v="1237"/>
    <x v="38"/>
    <d v="2023-07-21T00:00:00"/>
    <n v="1237"/>
    <x v="37"/>
    <d v="2023-08-10T00:00:00"/>
    <n v="1262.1500000000001"/>
    <x v="1"/>
  </r>
  <r>
    <x v="120"/>
    <x v="120"/>
    <n v="949"/>
    <d v="2022-05-17T00:00:00"/>
    <x v="2"/>
    <n v="5"/>
    <n v="872"/>
    <n v="1222"/>
    <d v="2024-08-01T00:00:00"/>
    <n v="530.04999999999995"/>
    <d v="2023-03-29T00:00:00"/>
    <m/>
    <m/>
    <m/>
    <x v="29"/>
    <d v="2024-02-07T00:00:00"/>
    <n v="1050"/>
    <x v="36"/>
    <d v="2024-02-08T00:00:00"/>
    <n v="1145"/>
    <x v="0"/>
    <m/>
    <m/>
    <x v="0"/>
    <m/>
    <m/>
    <x v="0"/>
    <m/>
    <m/>
    <x v="0"/>
    <m/>
    <m/>
    <x v="0"/>
    <m/>
    <m/>
    <x v="0"/>
    <m/>
    <m/>
    <x v="0"/>
    <m/>
    <m/>
    <x v="0"/>
    <m/>
    <m/>
    <x v="1"/>
  </r>
  <r>
    <x v="121"/>
    <x v="121"/>
    <n v="542"/>
    <d v="2022-05-10T00:00:00"/>
    <x v="2"/>
    <n v="5"/>
    <n v="510"/>
    <n v="1649"/>
    <d v="2024-05-06T00:00:00"/>
    <n v="410"/>
    <d v="2022-05-17T00:00:00"/>
    <m/>
    <m/>
    <m/>
    <x v="30"/>
    <d v="2022-08-12T00:00:00"/>
    <n v="597.9"/>
    <x v="12"/>
    <d v="2022-09-19T00:00:00"/>
    <n v="655"/>
    <x v="48"/>
    <d v="2022-10-21T00:00:00"/>
    <n v="704.9"/>
    <x v="52"/>
    <d v="2022-11-04T00:00:00"/>
    <n v="864.4"/>
    <x v="54"/>
    <d v="2022-11-04T00:00:00"/>
    <n v="864.4"/>
    <x v="50"/>
    <d v="2022-11-10T00:00:00"/>
    <n v="884.4"/>
    <x v="50"/>
    <d v="2023-05-17T00:00:00"/>
    <n v="930.95"/>
    <x v="38"/>
    <d v="2023-05-29T00:00:00"/>
    <n v="996.6"/>
    <x v="39"/>
    <d v="2023-07-07T00:00:00"/>
    <n v="1049"/>
    <x v="38"/>
    <d v="2023-07-12T00:00:00"/>
    <n v="1096.7"/>
    <x v="1"/>
  </r>
  <r>
    <x v="122"/>
    <x v="122"/>
    <n v="292"/>
    <d v="2022-05-09T00:00:00"/>
    <x v="2"/>
    <n v="5"/>
    <n v="360"/>
    <n v="639.29999999999995"/>
    <d v="2022-10-19T00:00:00"/>
    <n v="213"/>
    <d v="2024-03-28T00:00:00"/>
    <m/>
    <m/>
    <m/>
    <x v="1"/>
    <d v="2022-05-09T00:00:00"/>
    <n v="418"/>
    <x v="1"/>
    <d v="2022-05-09T00:00:00"/>
    <n v="418"/>
    <x v="1"/>
    <d v="2022-05-09T00:00:00"/>
    <n v="418"/>
    <x v="1"/>
    <d v="2022-05-09T00:00:00"/>
    <n v="418"/>
    <x v="35"/>
    <d v="2022-07-28T00:00:00"/>
    <n v="449"/>
    <x v="51"/>
    <d v="2022-08-19T00:00:00"/>
    <n v="501.5"/>
    <x v="51"/>
    <d v="2022-08-19T00:00:00"/>
    <n v="501.5"/>
    <x v="9"/>
    <d v="2022-09-12T00:00:00"/>
    <n v="547.79999999999995"/>
    <x v="40"/>
    <d v="2022-09-13T00:00:00"/>
    <n v="562.5"/>
    <x v="19"/>
    <d v="2022-09-19T00:00:00"/>
    <n v="602"/>
    <x v="1"/>
  </r>
  <r>
    <x v="123"/>
    <x v="123"/>
    <n v="866"/>
    <d v="2022-02-16T00:00:00"/>
    <x v="2"/>
    <n v="2"/>
    <n v="935"/>
    <n v="1501.55"/>
    <d v="2022-10-06T00:00:00"/>
    <n v="790.2"/>
    <d v="2022-02-24T00:00:00"/>
    <m/>
    <m/>
    <m/>
    <x v="1"/>
    <d v="2022-02-16T00:00:00"/>
    <n v="992.7"/>
    <x v="37"/>
    <d v="2022-04-04T00:00:00"/>
    <n v="1060.0999999999999"/>
    <x v="30"/>
    <d v="2022-04-21T00:00:00"/>
    <n v="1136.3"/>
    <x v="53"/>
    <d v="2022-08-02T00:00:00"/>
    <n v="1251.9000000000001"/>
    <x v="55"/>
    <d v="2022-08-26T00:00:00"/>
    <n v="1314.6"/>
    <x v="52"/>
    <d v="2022-09-07T00:00:00"/>
    <n v="1398"/>
    <x v="52"/>
    <d v="2022-10-03T00:00:00"/>
    <n v="1475"/>
    <x v="0"/>
    <m/>
    <m/>
    <x v="0"/>
    <m/>
    <m/>
    <x v="0"/>
    <m/>
    <m/>
    <x v="1"/>
  </r>
  <r>
    <x v="124"/>
    <x v="124"/>
    <n v="230"/>
    <d v="2022-02-08T00:00:00"/>
    <x v="2"/>
    <n v="2"/>
    <n v="227"/>
    <n v="878"/>
    <d v="2022-04-28T00:00:00"/>
    <n v="227"/>
    <d v="2022-02-08T00:00:00"/>
    <m/>
    <m/>
    <m/>
    <x v="1"/>
    <d v="2022-02-08T00:00:00"/>
    <n v="271.25"/>
    <x v="2"/>
    <d v="2022-02-09T00:00:00"/>
    <n v="321.89999999999998"/>
    <x v="39"/>
    <d v="2022-02-09T00:00:00"/>
    <n v="321.89999999999998"/>
    <x v="16"/>
    <d v="2022-02-10T00:00:00"/>
    <n v="386.25"/>
    <x v="56"/>
    <d v="2022-02-10T00:00:00"/>
    <n v="386.25"/>
    <x v="43"/>
    <d v="2022-02-10T00:00:00"/>
    <n v="386.25"/>
    <x v="53"/>
    <d v="2022-02-11T00:00:00"/>
    <n v="419.9"/>
    <x v="43"/>
    <d v="2022-02-11T00:00:00"/>
    <n v="419.9"/>
    <x v="41"/>
    <d v="2022-03-28T00:00:00"/>
    <n v="461.15"/>
    <x v="39"/>
    <d v="2022-03-28T00:00:00"/>
    <n v="461.15"/>
    <x v="1"/>
  </r>
  <r>
    <x v="125"/>
    <x v="125"/>
    <n v="175"/>
    <d v="2022-01-31T00:00:00"/>
    <x v="2"/>
    <n v="1"/>
    <n v="175"/>
    <n v="181.85"/>
    <d v="2022-01-31T00:00:00"/>
    <n v="44.45"/>
    <d v="2023-03-31T00:00:00"/>
    <m/>
    <m/>
    <m/>
    <x v="0"/>
    <m/>
    <m/>
    <x v="0"/>
    <m/>
    <m/>
    <x v="0"/>
    <m/>
    <m/>
    <x v="0"/>
    <m/>
    <m/>
    <x v="0"/>
    <m/>
    <m/>
    <x v="0"/>
    <m/>
    <m/>
    <x v="0"/>
    <m/>
    <m/>
    <x v="0"/>
    <m/>
    <m/>
    <x v="0"/>
    <m/>
    <m/>
    <x v="0"/>
    <m/>
    <m/>
    <x v="1"/>
  </r>
  <r>
    <x v="126"/>
    <x v="126"/>
    <n v="216"/>
    <d v="2021-12-31T00:00:00"/>
    <x v="3"/>
    <n v="12"/>
    <n v="220.2"/>
    <n v="601.9"/>
    <d v="2024-08-20T00:00:00"/>
    <n v="210.4"/>
    <d v="2022-06-27T00:00:00"/>
    <m/>
    <m/>
    <m/>
    <x v="1"/>
    <d v="2021-12-31T00:00:00"/>
    <n v="259.60000000000002"/>
    <x v="1"/>
    <d v="2021-12-31T00:00:00"/>
    <n v="259.60000000000002"/>
    <x v="49"/>
    <d v="2022-01-07T00:00:00"/>
    <n v="283"/>
    <x v="22"/>
    <d v="2022-01-17T00:00:00"/>
    <n v="317.45"/>
    <x v="57"/>
    <d v="2022-10-25T00:00:00"/>
    <n v="335.9"/>
    <x v="53"/>
    <d v="2022-11-02T00:00:00"/>
    <n v="349.5"/>
    <x v="54"/>
    <d v="2023-06-28T00:00:00"/>
    <n v="375"/>
    <x v="44"/>
    <d v="2023-07-13T00:00:00"/>
    <n v="393"/>
    <x v="42"/>
    <d v="2023-11-29T00:00:00"/>
    <n v="421.4"/>
    <x v="40"/>
    <d v="2024-04-30T00:00:00"/>
    <n v="434"/>
    <x v="1"/>
  </r>
  <r>
    <x v="127"/>
    <x v="127"/>
    <n v="274"/>
    <d v="2021-12-28T00:00:00"/>
    <x v="3"/>
    <n v="12"/>
    <n v="421"/>
    <n v="675"/>
    <d v="2024-09-16T00:00:00"/>
    <n v="170.15"/>
    <d v="2023-03-27T00:00:00"/>
    <m/>
    <m/>
    <m/>
    <x v="1"/>
    <d v="2021-12-28T00:00:00"/>
    <n v="421"/>
    <x v="1"/>
    <d v="2021-12-28T00:00:00"/>
    <n v="421"/>
    <x v="1"/>
    <d v="2021-12-28T00:00:00"/>
    <n v="421"/>
    <x v="1"/>
    <d v="2021-12-28T00:00:00"/>
    <n v="421"/>
    <x v="1"/>
    <d v="2021-12-28T00:00:00"/>
    <n v="421"/>
    <x v="7"/>
    <d v="2021-12-29T00:00:00"/>
    <n v="469"/>
    <x v="25"/>
    <d v="2021-12-29T00:00:00"/>
    <n v="469"/>
    <x v="45"/>
    <d v="2021-12-30T00:00:00"/>
    <n v="527.85"/>
    <x v="43"/>
    <d v="2021-12-30T00:00:00"/>
    <n v="527.85"/>
    <x v="41"/>
    <d v="2022-01-18T00:00:00"/>
    <n v="601.9"/>
    <x v="1"/>
  </r>
  <r>
    <x v="128"/>
    <x v="128"/>
    <n v="585"/>
    <d v="2021-12-24T00:00:00"/>
    <x v="3"/>
    <n v="12"/>
    <n v="856.05"/>
    <n v="3655"/>
    <d v="2024-07-05T00:00:00"/>
    <n v="575"/>
    <d v="2022-02-24T00:00:00"/>
    <m/>
    <m/>
    <m/>
    <x v="1"/>
    <d v="2021-12-24T00:00:00"/>
    <n v="864"/>
    <x v="1"/>
    <d v="2021-12-24T00:00:00"/>
    <n v="864"/>
    <x v="1"/>
    <d v="2021-12-24T00:00:00"/>
    <n v="864"/>
    <x v="1"/>
    <d v="2021-12-24T00:00:00"/>
    <n v="864"/>
    <x v="58"/>
    <d v="2022-04-11T00:00:00"/>
    <n v="898"/>
    <x v="54"/>
    <d v="2022-08-26T00:00:00"/>
    <n v="974"/>
    <x v="55"/>
    <d v="2022-08-29T00:00:00"/>
    <n v="1094"/>
    <x v="46"/>
    <d v="2022-08-29T00:00:00"/>
    <n v="1094"/>
    <x v="44"/>
    <d v="2022-09-01T00:00:00"/>
    <n v="1116.45"/>
    <x v="42"/>
    <d v="2022-09-08T00:00:00"/>
    <n v="1202"/>
    <x v="1"/>
  </r>
  <r>
    <x v="129"/>
    <x v="129"/>
    <n v="796"/>
    <d v="2021-12-23T00:00:00"/>
    <x v="3"/>
    <n v="12"/>
    <n v="1040"/>
    <n v="1343"/>
    <d v="2022-01-20T00:00:00"/>
    <n v="548.25"/>
    <d v="2022-12-01T00:00:00"/>
    <m/>
    <m/>
    <m/>
    <x v="1"/>
    <d v="2021-12-23T00:00:00"/>
    <n v="1143.9000000000001"/>
    <x v="1"/>
    <d v="2021-12-23T00:00:00"/>
    <n v="1143.9000000000001"/>
    <x v="1"/>
    <d v="2021-12-23T00:00:00"/>
    <n v="1143.9000000000001"/>
    <x v="1"/>
    <d v="2021-12-23T00:00:00"/>
    <n v="1143.9000000000001"/>
    <x v="59"/>
    <d v="2022-01-17T00:00:00"/>
    <n v="1222.2"/>
    <x v="55"/>
    <d v="2022-01-20T00:00:00"/>
    <n v="1343"/>
    <x v="0"/>
    <m/>
    <m/>
    <x v="0"/>
    <m/>
    <m/>
    <x v="0"/>
    <m/>
    <m/>
    <x v="0"/>
    <m/>
    <m/>
    <x v="1"/>
  </r>
  <r>
    <x v="130"/>
    <x v="130"/>
    <n v="500"/>
    <d v="2021-12-22T00:00:00"/>
    <x v="3"/>
    <n v="12"/>
    <n v="437"/>
    <n v="1441.2"/>
    <d v="2023-11-30T00:00:00"/>
    <n v="426"/>
    <d v="2021-12-22T00:00:00"/>
    <m/>
    <m/>
    <m/>
    <x v="21"/>
    <d v="2022-01-17T00:00:00"/>
    <n v="609.5"/>
    <x v="5"/>
    <d v="2022-01-17T00:00:00"/>
    <n v="609.5"/>
    <x v="50"/>
    <d v="2022-01-18T00:00:00"/>
    <n v="673"/>
    <x v="54"/>
    <d v="2022-08-01T00:00:00"/>
    <n v="761.75"/>
    <x v="60"/>
    <d v="2022-08-01T00:00:00"/>
    <n v="761.75"/>
    <x v="56"/>
    <d v="2022-08-11T00:00:00"/>
    <n v="939.9"/>
    <x v="56"/>
    <d v="2022-08-11T00:00:00"/>
    <n v="939.9"/>
    <x v="47"/>
    <d v="2022-08-11T00:00:00"/>
    <n v="939.9"/>
    <x v="45"/>
    <d v="2022-10-03T00:00:00"/>
    <n v="968.95"/>
    <x v="43"/>
    <d v="2023-06-02T00:00:00"/>
    <n v="1013"/>
    <x v="1"/>
  </r>
  <r>
    <x v="131"/>
    <x v="131"/>
    <n v="1033"/>
    <d v="2021-12-21T00:00:00"/>
    <x v="3"/>
    <n v="12"/>
    <n v="1565"/>
    <n v="2747.85"/>
    <d v="2024-06-21T00:00:00"/>
    <n v="984.05"/>
    <d v="2023-04-24T00:00:00"/>
    <m/>
    <m/>
    <m/>
    <x v="1"/>
    <d v="2021-12-21T00:00:00"/>
    <n v="1590"/>
    <x v="1"/>
    <d v="2021-12-21T00:00:00"/>
    <n v="1590"/>
    <x v="1"/>
    <d v="2021-12-21T00:00:00"/>
    <n v="1590"/>
    <x v="1"/>
    <d v="2021-12-21T00:00:00"/>
    <n v="1590"/>
    <x v="1"/>
    <d v="2021-12-21T00:00:00"/>
    <n v="1590"/>
    <x v="57"/>
    <d v="2021-12-29T00:00:00"/>
    <n v="1777"/>
    <x v="57"/>
    <d v="2021-12-29T00:00:00"/>
    <n v="1777"/>
    <x v="48"/>
    <d v="2022-01-04T00:00:00"/>
    <n v="1876.4"/>
    <x v="46"/>
    <d v="2023-09-29T00:00:00"/>
    <n v="2053"/>
    <x v="44"/>
    <d v="2023-10-03T00:00:00"/>
    <n v="2155"/>
    <x v="1"/>
  </r>
  <r>
    <x v="132"/>
    <x v="132"/>
    <n v="118"/>
    <d v="2021-12-20T00:00:00"/>
    <x v="3"/>
    <n v="12"/>
    <n v="90"/>
    <n v="147.6"/>
    <d v="2024-09-05T00:00:00"/>
    <n v="53"/>
    <d v="2023-03-28T00:00:00"/>
    <m/>
    <m/>
    <m/>
    <x v="31"/>
    <d v="2024-01-03T00:00:00"/>
    <n v="131.80000000000001"/>
    <x v="38"/>
    <d v="2024-08-28T00:00:00"/>
    <n v="141.88999999999999"/>
    <x v="0"/>
    <m/>
    <m/>
    <x v="0"/>
    <m/>
    <m/>
    <x v="0"/>
    <m/>
    <m/>
    <x v="0"/>
    <m/>
    <m/>
    <x v="0"/>
    <m/>
    <m/>
    <x v="0"/>
    <m/>
    <m/>
    <x v="0"/>
    <m/>
    <m/>
    <x v="0"/>
    <m/>
    <m/>
    <x v="1"/>
  </r>
  <r>
    <x v="133"/>
    <x v="133"/>
    <n v="425"/>
    <d v="2021-12-17T00:00:00"/>
    <x v="3"/>
    <n v="12"/>
    <n v="360"/>
    <n v="921.7"/>
    <d v="2024-02-16T00:00:00"/>
    <n v="235"/>
    <d v="2022-06-30T00:00:00"/>
    <m/>
    <m/>
    <m/>
    <x v="32"/>
    <d v="2022-01-14T00:00:00"/>
    <n v="503.3"/>
    <x v="39"/>
    <d v="2022-01-18T00:00:00"/>
    <n v="525"/>
    <x v="51"/>
    <d v="2023-08-08T00:00:00"/>
    <n v="577.70000000000005"/>
    <x v="55"/>
    <d v="2023-08-17T00:00:00"/>
    <n v="605"/>
    <x v="61"/>
    <d v="2023-09-06T00:00:00"/>
    <n v="641.6"/>
    <x v="58"/>
    <d v="2023-11-02T00:00:00"/>
    <n v="682"/>
    <x v="58"/>
    <d v="2023-11-13T00:00:00"/>
    <n v="729.2"/>
    <x v="49"/>
    <d v="2023-12-22T00:00:00"/>
    <n v="772.95"/>
    <x v="47"/>
    <d v="2024-01-30T00:00:00"/>
    <n v="821.65"/>
    <x v="45"/>
    <d v="2024-02-02T00:00:00"/>
    <n v="887.45"/>
    <x v="1"/>
  </r>
  <r>
    <x v="134"/>
    <x v="134"/>
    <n v="550"/>
    <d v="2021-12-14T00:00:00"/>
    <x v="3"/>
    <n v="12"/>
    <n v="600"/>
    <n v="4299.95"/>
    <d v="2024-06-03T00:00:00"/>
    <n v="542.04999999999995"/>
    <d v="2022-02-24T00:00:00"/>
    <m/>
    <m/>
    <m/>
    <x v="1"/>
    <d v="2021-12-14T00:00:00"/>
    <n v="615"/>
    <x v="40"/>
    <d v="2022-04-13T00:00:00"/>
    <n v="721.35"/>
    <x v="52"/>
    <d v="2022-04-13T00:00:00"/>
    <n v="721.35"/>
    <x v="56"/>
    <d v="2023-01-13T00:00:00"/>
    <n v="780"/>
    <x v="62"/>
    <d v="2023-01-17T00:00:00"/>
    <n v="844.7"/>
    <x v="59"/>
    <d v="2023-04-13T00:00:00"/>
    <n v="884.55"/>
    <x v="59"/>
    <d v="2023-07-10T00:00:00"/>
    <n v="937"/>
    <x v="50"/>
    <d v="2023-07-13T00:00:00"/>
    <n v="1092.6500000000001"/>
    <x v="48"/>
    <d v="2023-07-13T00:00:00"/>
    <n v="1092.6500000000001"/>
    <x v="46"/>
    <d v="2023-07-26T00:00:00"/>
    <n v="1104"/>
    <x v="1"/>
  </r>
  <r>
    <x v="135"/>
    <x v="135"/>
    <n v="453"/>
    <d v="2021-12-13T00:00:00"/>
    <x v="3"/>
    <n v="12"/>
    <n v="760"/>
    <n v="1970.2"/>
    <d v="2024-08-01T00:00:00"/>
    <n v="397"/>
    <d v="2022-02-24T00:00:00"/>
    <m/>
    <m/>
    <m/>
    <x v="1"/>
    <d v="2021-12-13T00:00:00"/>
    <n v="767.7"/>
    <x v="1"/>
    <d v="2021-12-13T00:00:00"/>
    <n v="767.7"/>
    <x v="1"/>
    <d v="2021-12-13T00:00:00"/>
    <n v="767.7"/>
    <x v="1"/>
    <d v="2021-12-13T00:00:00"/>
    <n v="767.7"/>
    <x v="1"/>
    <d v="2021-12-13T00:00:00"/>
    <n v="767.7"/>
    <x v="1"/>
    <d v="2021-12-13T00:00:00"/>
    <n v="767.7"/>
    <x v="60"/>
    <d v="2023-05-22T00:00:00"/>
    <n v="774.8"/>
    <x v="51"/>
    <d v="2023-05-25T00:00:00"/>
    <n v="839"/>
    <x v="49"/>
    <d v="2023-05-31T00:00:00"/>
    <n v="899.45"/>
    <x v="47"/>
    <d v="2023-06-01T00:00:00"/>
    <n v="925"/>
    <x v="1"/>
  </r>
  <r>
    <x v="136"/>
    <x v="136"/>
    <n v="900"/>
    <d v="2021-12-10T00:00:00"/>
    <x v="3"/>
    <n v="12"/>
    <n v="845"/>
    <n v="940"/>
    <d v="2021-12-10T00:00:00"/>
    <n v="454.8"/>
    <d v="2024-03-01T00:00:00"/>
    <m/>
    <m/>
    <m/>
    <x v="0"/>
    <m/>
    <m/>
    <x v="0"/>
    <m/>
    <m/>
    <x v="0"/>
    <m/>
    <m/>
    <x v="0"/>
    <m/>
    <m/>
    <x v="0"/>
    <m/>
    <m/>
    <x v="0"/>
    <m/>
    <m/>
    <x v="0"/>
    <m/>
    <m/>
    <x v="0"/>
    <m/>
    <m/>
    <x v="0"/>
    <m/>
    <m/>
    <x v="0"/>
    <m/>
    <m/>
    <x v="1"/>
  </r>
  <r>
    <x v="137"/>
    <x v="137"/>
    <n v="690"/>
    <d v="2021-11-30T00:00:00"/>
    <x v="3"/>
    <n v="11"/>
    <n v="1310"/>
    <n v="1453"/>
    <d v="2022-11-01T00:00:00"/>
    <n v="847.3"/>
    <d v="2022-03-08T00:00:00"/>
    <m/>
    <m/>
    <m/>
    <x v="1"/>
    <d v="2021-11-30T00:00:00"/>
    <n v="1339.9"/>
    <x v="1"/>
    <d v="2021-11-30T00:00:00"/>
    <n v="1339.9"/>
    <x v="1"/>
    <d v="2021-11-30T00:00:00"/>
    <n v="1339.9"/>
    <x v="1"/>
    <d v="2021-11-30T00:00:00"/>
    <n v="1339.9"/>
    <x v="1"/>
    <d v="2021-11-30T00:00:00"/>
    <n v="1339.9"/>
    <x v="1"/>
    <d v="2021-11-30T00:00:00"/>
    <n v="1339.9"/>
    <x v="1"/>
    <d v="2021-11-30T00:00:00"/>
    <n v="1339.9"/>
    <x v="1"/>
    <d v="2021-11-30T00:00:00"/>
    <n v="1339.9"/>
    <x v="1"/>
    <d v="2021-11-30T00:00:00"/>
    <n v="1339.9"/>
    <x v="48"/>
    <d v="2022-10-04T00:00:00"/>
    <n v="1381.1"/>
    <x v="1"/>
  </r>
  <r>
    <x v="138"/>
    <x v="138"/>
    <n v="662"/>
    <d v="2021-11-26T00:00:00"/>
    <x v="3"/>
    <n v="11"/>
    <n v="682"/>
    <n v="924.9"/>
    <d v="2021-11-29T00:00:00"/>
    <n v="389.1"/>
    <d v="2024-06-04T00:00:00"/>
    <m/>
    <m/>
    <m/>
    <x v="1"/>
    <d v="2021-11-26T00:00:00"/>
    <n v="818.4"/>
    <x v="1"/>
    <d v="2021-11-26T00:00:00"/>
    <n v="818.4"/>
    <x v="2"/>
    <d v="2021-11-29T00:00:00"/>
    <n v="924.9"/>
    <x v="0"/>
    <m/>
    <m/>
    <x v="0"/>
    <m/>
    <m/>
    <x v="0"/>
    <m/>
    <m/>
    <x v="0"/>
    <m/>
    <m/>
    <x v="0"/>
    <m/>
    <m/>
    <x v="0"/>
    <m/>
    <m/>
    <x v="0"/>
    <m/>
    <m/>
    <x v="1"/>
  </r>
  <r>
    <x v="139"/>
    <x v="139"/>
    <n v="197"/>
    <d v="2021-11-23T00:00:00"/>
    <x v="3"/>
    <n v="11"/>
    <n v="512.20000000000005"/>
    <n v="754.9"/>
    <d v="2021-11-26T00:00:00"/>
    <n v="305.25"/>
    <d v="2022-06-20T00:00:00"/>
    <m/>
    <m/>
    <m/>
    <x v="1"/>
    <d v="2021-11-23T00:00:00"/>
    <n v="548"/>
    <x v="1"/>
    <d v="2021-11-23T00:00:00"/>
    <n v="548"/>
    <x v="1"/>
    <d v="2021-11-23T00:00:00"/>
    <n v="548"/>
    <x v="1"/>
    <d v="2021-11-23T00:00:00"/>
    <n v="548"/>
    <x v="1"/>
    <d v="2021-11-23T00:00:00"/>
    <n v="548"/>
    <x v="1"/>
    <d v="2021-11-23T00:00:00"/>
    <n v="548"/>
    <x v="1"/>
    <d v="2021-11-23T00:00:00"/>
    <n v="548"/>
    <x v="1"/>
    <d v="2021-11-23T00:00:00"/>
    <n v="548"/>
    <x v="1"/>
    <d v="2021-11-23T00:00:00"/>
    <n v="548"/>
    <x v="1"/>
    <d v="2021-11-23T00:00:00"/>
    <n v="548"/>
    <x v="1"/>
  </r>
  <r>
    <x v="140"/>
    <x v="140"/>
    <n v="1180"/>
    <d v="2021-11-18T00:00:00"/>
    <x v="3"/>
    <n v="11"/>
    <n v="1350"/>
    <n v="1817.2"/>
    <d v="2024-08-01T00:00:00"/>
    <n v="317.05"/>
    <d v="2024-09-06T00:00:00"/>
    <m/>
    <m/>
    <m/>
    <x v="1"/>
    <d v="2021-11-18T00:00:00"/>
    <n v="1380.05"/>
    <x v="41"/>
    <d v="2022-01-10T00:00:00"/>
    <n v="1459.4"/>
    <x v="53"/>
    <d v="2022-02-11T00:00:00"/>
    <n v="1538.9"/>
    <x v="57"/>
    <d v="2024-03-22T00:00:00"/>
    <n v="1680"/>
    <x v="63"/>
    <d v="2024-08-01T00:00:00"/>
    <n v="1817.2"/>
    <x v="0"/>
    <m/>
    <m/>
    <x v="0"/>
    <m/>
    <m/>
    <x v="0"/>
    <m/>
    <m/>
    <x v="0"/>
    <m/>
    <m/>
    <x v="0"/>
    <m/>
    <m/>
    <x v="1"/>
  </r>
  <r>
    <x v="141"/>
    <x v="141"/>
    <n v="2150"/>
    <d v="2021-11-18T00:00:00"/>
    <x v="3"/>
    <n v="11"/>
    <n v="1950"/>
    <n v="1955"/>
    <d v="2021-11-18T00:00:00"/>
    <n v="310"/>
    <d v="2024-05-09T00:00:00"/>
    <m/>
    <m/>
    <m/>
    <x v="0"/>
    <m/>
    <m/>
    <x v="0"/>
    <m/>
    <m/>
    <x v="0"/>
    <m/>
    <m/>
    <x v="0"/>
    <m/>
    <m/>
    <x v="0"/>
    <m/>
    <m/>
    <x v="0"/>
    <m/>
    <m/>
    <x v="0"/>
    <m/>
    <m/>
    <x v="0"/>
    <m/>
    <m/>
    <x v="0"/>
    <m/>
    <m/>
    <x v="0"/>
    <m/>
    <m/>
    <x v="1"/>
  </r>
  <r>
    <x v="142"/>
    <x v="142"/>
    <n v="980"/>
    <d v="2021-11-15T00:00:00"/>
    <x v="3"/>
    <n v="11"/>
    <n v="1150"/>
    <n v="1885"/>
    <d v="2024-09-18T00:00:00"/>
    <n v="356.2"/>
    <d v="2022-11-17T00:00:00"/>
    <m/>
    <m/>
    <m/>
    <x v="1"/>
    <d v="2021-11-15T00:00:00"/>
    <n v="1248.9000000000001"/>
    <x v="1"/>
    <d v="2021-11-15T00:00:00"/>
    <n v="1248.9000000000001"/>
    <x v="39"/>
    <d v="2021-11-16T00:00:00"/>
    <n v="1434"/>
    <x v="2"/>
    <d v="2021-11-16T00:00:00"/>
    <n v="1434"/>
    <x v="56"/>
    <d v="2021-11-17T00:00:00"/>
    <n v="1470"/>
    <x v="60"/>
    <d v="2024-08-14T00:00:00"/>
    <n v="1709.95"/>
    <x v="61"/>
    <d v="2024-08-14T00:00:00"/>
    <n v="1709.95"/>
    <x v="52"/>
    <d v="2024-08-26T00:00:00"/>
    <n v="1849.9"/>
    <x v="50"/>
    <d v="2024-09-17T00:00:00"/>
    <n v="1871.4"/>
    <x v="0"/>
    <m/>
    <m/>
    <x v="1"/>
  </r>
  <r>
    <x v="143"/>
    <x v="143"/>
    <n v="577"/>
    <d v="2021-11-12T00:00:00"/>
    <x v="3"/>
    <n v="11"/>
    <n v="544.35"/>
    <n v="582.95000000000005"/>
    <d v="2021-11-12T00:00:00"/>
    <n v="180.2"/>
    <d v="2022-11-15T00:00:00"/>
    <m/>
    <m/>
    <m/>
    <x v="0"/>
    <m/>
    <m/>
    <x v="0"/>
    <m/>
    <m/>
    <x v="0"/>
    <m/>
    <m/>
    <x v="0"/>
    <m/>
    <m/>
    <x v="0"/>
    <m/>
    <m/>
    <x v="0"/>
    <m/>
    <m/>
    <x v="0"/>
    <m/>
    <m/>
    <x v="0"/>
    <m/>
    <m/>
    <x v="0"/>
    <m/>
    <m/>
    <x v="0"/>
    <m/>
    <m/>
    <x v="1"/>
  </r>
  <r>
    <x v="144"/>
    <x v="144"/>
    <n v="712"/>
    <d v="2021-10-11T00:00:00"/>
    <x v="3"/>
    <n v="10"/>
    <n v="715"/>
    <n v="775"/>
    <d v="2024-08-21T00:00:00"/>
    <n v="307"/>
    <d v="2023-03-28T00:00:00"/>
    <m/>
    <m/>
    <m/>
    <x v="0"/>
    <m/>
    <m/>
    <x v="0"/>
    <m/>
    <m/>
    <x v="0"/>
    <m/>
    <m/>
    <x v="0"/>
    <m/>
    <m/>
    <x v="0"/>
    <m/>
    <m/>
    <x v="0"/>
    <m/>
    <m/>
    <x v="0"/>
    <m/>
    <m/>
    <x v="0"/>
    <m/>
    <m/>
    <x v="0"/>
    <m/>
    <m/>
    <x v="0"/>
    <m/>
    <m/>
    <x v="1"/>
  </r>
  <r>
    <x v="145"/>
    <x v="145"/>
    <n v="744"/>
    <d v="2021-09-24T00:00:00"/>
    <x v="3"/>
    <n v="9"/>
    <n v="811.5"/>
    <n v="1607.3"/>
    <d v="2024-09-17T00:00:00"/>
    <n v="548.54999999999995"/>
    <d v="2022-03-28T00:00:00"/>
    <m/>
    <m/>
    <m/>
    <x v="1"/>
    <d v="2021-09-24T00:00:00"/>
    <n v="841.95"/>
    <x v="42"/>
    <d v="2023-06-22T00:00:00"/>
    <n v="914.55"/>
    <x v="54"/>
    <d v="2023-07-31T00:00:00"/>
    <n v="968"/>
    <x v="58"/>
    <d v="2023-12-22T00:00:00"/>
    <n v="1048.3499999999999"/>
    <x v="64"/>
    <d v="2024-06-11T00:00:00"/>
    <n v="1195"/>
    <x v="61"/>
    <d v="2024-06-11T00:00:00"/>
    <n v="1195"/>
    <x v="62"/>
    <d v="2024-06-19T00:00:00"/>
    <n v="1316.95"/>
    <x v="53"/>
    <d v="2024-06-25T00:00:00"/>
    <n v="1342.55"/>
    <x v="51"/>
    <d v="2024-07-08T00:00:00"/>
    <n v="1430.9"/>
    <x v="49"/>
    <d v="2024-08-19T00:00:00"/>
    <n v="1519.7"/>
    <x v="1"/>
  </r>
  <r>
    <x v="146"/>
    <x v="146"/>
    <n v="531"/>
    <d v="2021-09-14T00:00:00"/>
    <x v="3"/>
    <n v="9"/>
    <n v="540"/>
    <n v="973"/>
    <d v="2024-09-12T00:00:00"/>
    <n v="295"/>
    <d v="2022-06-14T00:00:00"/>
    <m/>
    <m/>
    <m/>
    <x v="1"/>
    <d v="2021-09-14T00:00:00"/>
    <n v="648"/>
    <x v="1"/>
    <d v="2021-09-14T00:00:00"/>
    <n v="648"/>
    <x v="55"/>
    <d v="2024-01-02T00:00:00"/>
    <n v="691.55"/>
    <x v="59"/>
    <d v="2024-05-10T00:00:00"/>
    <n v="817.95"/>
    <x v="65"/>
    <d v="2024-05-10T00:00:00"/>
    <n v="817.95"/>
    <x v="62"/>
    <d v="2024-06-05T00:00:00"/>
    <n v="880"/>
    <x v="63"/>
    <d v="2024-08-20T00:00:00"/>
    <n v="904.8"/>
    <x v="54"/>
    <d v="2024-09-05T00:00:00"/>
    <n v="965"/>
    <x v="0"/>
    <m/>
    <m/>
    <x v="0"/>
    <m/>
    <m/>
    <x v="1"/>
  </r>
  <r>
    <x v="147"/>
    <x v="147"/>
    <n v="610"/>
    <d v="2021-09-14T00:00:00"/>
    <x v="3"/>
    <n v="9"/>
    <n v="910"/>
    <n v="1595"/>
    <d v="2024-09-18T00:00:00"/>
    <n v="766.1"/>
    <d v="2022-02-24T00:00:00"/>
    <m/>
    <m/>
    <m/>
    <x v="1"/>
    <d v="2021-09-14T00:00:00"/>
    <n v="966.7"/>
    <x v="1"/>
    <d v="2021-09-14T00:00:00"/>
    <n v="966.7"/>
    <x v="1"/>
    <d v="2021-09-14T00:00:00"/>
    <n v="966.7"/>
    <x v="1"/>
    <d v="2021-09-14T00:00:00"/>
    <n v="966.7"/>
    <x v="1"/>
    <d v="2021-09-14T00:00:00"/>
    <n v="966.7"/>
    <x v="7"/>
    <d v="2021-09-15T00:00:00"/>
    <n v="1122"/>
    <x v="25"/>
    <d v="2021-09-15T00:00:00"/>
    <n v="1122"/>
    <x v="4"/>
    <d v="2021-09-15T00:00:00"/>
    <n v="1122"/>
    <x v="43"/>
    <d v="2021-09-16T00:00:00"/>
    <n v="1346.4"/>
    <x v="22"/>
    <d v="2021-09-16T00:00:00"/>
    <n v="1346.4"/>
    <x v="1"/>
  </r>
  <r>
    <x v="148"/>
    <x v="148"/>
    <n v="541"/>
    <d v="2021-08-24T00:00:00"/>
    <x v="3"/>
    <n v="8"/>
    <n v="550"/>
    <n v="826"/>
    <d v="2021-10-11T00:00:00"/>
    <n v="342.05"/>
    <d v="2023-03-28T00:00:00"/>
    <m/>
    <m/>
    <m/>
    <x v="6"/>
    <d v="2021-08-31T00:00:00"/>
    <n v="616.85"/>
    <x v="43"/>
    <d v="2021-10-04T00:00:00"/>
    <n v="684.35"/>
    <x v="56"/>
    <d v="2021-10-05T00:00:00"/>
    <n v="732.8"/>
    <x v="44"/>
    <d v="2021-10-08T00:00:00"/>
    <n v="810"/>
    <x v="66"/>
    <d v="2021-10-11T00:00:00"/>
    <n v="826"/>
    <x v="0"/>
    <m/>
    <m/>
    <x v="0"/>
    <m/>
    <m/>
    <x v="0"/>
    <m/>
    <m/>
    <x v="0"/>
    <m/>
    <m/>
    <x v="0"/>
    <m/>
    <m/>
    <x v="1"/>
  </r>
  <r>
    <x v="149"/>
    <x v="149"/>
    <n v="353"/>
    <d v="2021-08-24T00:00:00"/>
    <x v="3"/>
    <n v="8"/>
    <n v="333"/>
    <n v="394.9"/>
    <d v="2022-02-03T00:00:00"/>
    <n v="221.25"/>
    <d v="2022-06-16T00:00:00"/>
    <m/>
    <m/>
    <m/>
    <x v="33"/>
    <d v="2022-02-02T00:00:00"/>
    <n v="393.8"/>
    <x v="0"/>
    <m/>
    <m/>
    <x v="0"/>
    <m/>
    <m/>
    <x v="0"/>
    <m/>
    <m/>
    <x v="0"/>
    <m/>
    <m/>
    <x v="0"/>
    <m/>
    <m/>
    <x v="0"/>
    <m/>
    <m/>
    <x v="0"/>
    <m/>
    <m/>
    <x v="0"/>
    <m/>
    <m/>
    <x v="0"/>
    <m/>
    <m/>
    <x v="1"/>
  </r>
  <r>
    <x v="150"/>
    <x v="150"/>
    <n v="570"/>
    <d v="2021-08-23T00:00:00"/>
    <x v="3"/>
    <n v="8"/>
    <n v="485"/>
    <n v="577.9"/>
    <d v="2021-09-06T00:00:00"/>
    <n v="260.25"/>
    <d v="2022-06-16T00:00:00"/>
    <m/>
    <m/>
    <m/>
    <x v="0"/>
    <m/>
    <m/>
    <x v="0"/>
    <m/>
    <m/>
    <x v="0"/>
    <m/>
    <m/>
    <x v="0"/>
    <m/>
    <m/>
    <x v="0"/>
    <m/>
    <m/>
    <x v="0"/>
    <m/>
    <m/>
    <x v="0"/>
    <m/>
    <m/>
    <x v="0"/>
    <m/>
    <m/>
    <x v="0"/>
    <m/>
    <m/>
    <x v="0"/>
    <m/>
    <m/>
    <x v="1"/>
  </r>
  <r>
    <x v="151"/>
    <x v="151"/>
    <n v="1618"/>
    <d v="2021-08-20T00:00:00"/>
    <x v="3"/>
    <n v="8"/>
    <n v="1599.8"/>
    <n v="1618"/>
    <d v="2021-08-20T00:00:00"/>
    <n v="340.15"/>
    <d v="2023-03-28T00:00:00"/>
    <m/>
    <m/>
    <m/>
    <x v="0"/>
    <m/>
    <m/>
    <x v="0"/>
    <m/>
    <m/>
    <x v="0"/>
    <m/>
    <m/>
    <x v="0"/>
    <m/>
    <m/>
    <x v="0"/>
    <m/>
    <m/>
    <x v="0"/>
    <m/>
    <m/>
    <x v="0"/>
    <m/>
    <m/>
    <x v="0"/>
    <m/>
    <m/>
    <x v="0"/>
    <m/>
    <m/>
    <x v="0"/>
    <m/>
    <m/>
    <x v="1"/>
  </r>
  <r>
    <x v="152"/>
    <x v="152"/>
    <n v="460"/>
    <d v="2021-08-16T00:00:00"/>
    <x v="3"/>
    <n v="8"/>
    <n v="437"/>
    <n v="952.1"/>
    <d v="2024-09-11T00:00:00"/>
    <n v="203.25"/>
    <d v="2022-06-20T00:00:00"/>
    <m/>
    <m/>
    <m/>
    <x v="34"/>
    <d v="2024-01-02T00:00:00"/>
    <n v="544"/>
    <x v="44"/>
    <d v="2024-02-08T00:00:00"/>
    <n v="555"/>
    <x v="57"/>
    <d v="2024-05-21T00:00:00"/>
    <n v="648"/>
    <x v="60"/>
    <d v="2024-05-21T00:00:00"/>
    <n v="648"/>
    <x v="67"/>
    <d v="2024-06-12T00:00:00"/>
    <n v="736.6"/>
    <x v="63"/>
    <d v="2024-06-12T00:00:00"/>
    <n v="736.6"/>
    <x v="64"/>
    <d v="2024-06-13T00:00:00"/>
    <n v="794.5"/>
    <x v="55"/>
    <d v="2024-07-31T00:00:00"/>
    <n v="830"/>
    <x v="52"/>
    <d v="2024-08-08T00:00:00"/>
    <n v="887.85"/>
    <x v="50"/>
    <d v="2024-09-05T00:00:00"/>
    <n v="929"/>
    <x v="1"/>
  </r>
  <r>
    <x v="153"/>
    <x v="153"/>
    <n v="90"/>
    <d v="2021-08-16T00:00:00"/>
    <x v="3"/>
    <n v="8"/>
    <n v="140.9"/>
    <n v="227.5"/>
    <d v="2023-09-11T00:00:00"/>
    <n v="107.55"/>
    <d v="2021-08-23T00:00:00"/>
    <m/>
    <m/>
    <m/>
    <x v="1"/>
    <d v="2021-08-16T00:00:00"/>
    <n v="140.9"/>
    <x v="1"/>
    <d v="2021-08-16T00:00:00"/>
    <n v="140.9"/>
    <x v="1"/>
    <d v="2021-08-16T00:00:00"/>
    <n v="140.9"/>
    <x v="1"/>
    <d v="2021-08-16T00:00:00"/>
    <n v="140.9"/>
    <x v="1"/>
    <d v="2021-08-16T00:00:00"/>
    <n v="140.9"/>
    <x v="64"/>
    <d v="2021-11-03T00:00:00"/>
    <n v="149.25"/>
    <x v="37"/>
    <d v="2021-11-08T00:00:00"/>
    <n v="154.75"/>
    <x v="56"/>
    <d v="2021-11-12T00:00:00"/>
    <n v="168.35"/>
    <x v="53"/>
    <d v="2021-11-18T00:00:00"/>
    <n v="171"/>
    <x v="51"/>
    <d v="2021-12-08T00:00:00"/>
    <n v="183.8"/>
    <x v="1"/>
  </r>
  <r>
    <x v="154"/>
    <x v="154"/>
    <n v="954"/>
    <d v="2021-08-16T00:00:00"/>
    <x v="3"/>
    <n v="8"/>
    <n v="1005.55"/>
    <n v="1099.7"/>
    <d v="2021-08-16T00:00:00"/>
    <n v="353.1"/>
    <d v="2023-02-28T00:00:00"/>
    <m/>
    <m/>
    <m/>
    <x v="1"/>
    <d v="2021-08-16T00:00:00"/>
    <n v="1099.7"/>
    <x v="0"/>
    <m/>
    <m/>
    <x v="0"/>
    <m/>
    <m/>
    <x v="0"/>
    <m/>
    <m/>
    <x v="0"/>
    <m/>
    <m/>
    <x v="0"/>
    <m/>
    <m/>
    <x v="0"/>
    <m/>
    <m/>
    <x v="0"/>
    <m/>
    <m/>
    <x v="0"/>
    <m/>
    <m/>
    <x v="0"/>
    <m/>
    <m/>
    <x v="1"/>
  </r>
  <r>
    <x v="155"/>
    <x v="155"/>
    <n v="900"/>
    <d v="2021-08-09T00:00:00"/>
    <x v="3"/>
    <n v="8"/>
    <n v="1250"/>
    <n v="2767.1"/>
    <d v="2024-07-10T00:00:00"/>
    <n v="994.8"/>
    <d v="2021-11-29T00:00:00"/>
    <m/>
    <m/>
    <m/>
    <x v="1"/>
    <d v="2021-08-09T00:00:00"/>
    <n v="1263"/>
    <x v="1"/>
    <d v="2021-08-09T00:00:00"/>
    <n v="1263"/>
    <x v="1"/>
    <d v="2021-08-09T00:00:00"/>
    <n v="1263"/>
    <x v="1"/>
    <d v="2021-08-09T00:00:00"/>
    <n v="1263"/>
    <x v="68"/>
    <d v="2022-01-10T00:00:00"/>
    <n v="1365"/>
    <x v="65"/>
    <d v="2022-06-01T00:00:00"/>
    <n v="1535.25"/>
    <x v="65"/>
    <d v="2022-06-01T00:00:00"/>
    <n v="1535.25"/>
    <x v="57"/>
    <d v="2022-06-10T00:00:00"/>
    <n v="1624.6"/>
    <x v="54"/>
    <d v="2022-07-04T00:00:00"/>
    <n v="1750"/>
    <x v="52"/>
    <d v="2022-07-07T00:00:00"/>
    <n v="1849.65"/>
    <x v="1"/>
  </r>
  <r>
    <x v="156"/>
    <x v="156"/>
    <n v="720"/>
    <d v="2021-08-06T00:00:00"/>
    <x v="3"/>
    <n v="8"/>
    <n v="750"/>
    <n v="1335.1"/>
    <d v="2024-09-16T00:00:00"/>
    <n v="370"/>
    <d v="2022-09-28T00:00:00"/>
    <m/>
    <m/>
    <m/>
    <x v="1"/>
    <d v="2021-08-06T00:00:00"/>
    <n v="799"/>
    <x v="45"/>
    <d v="2024-01-31T00:00:00"/>
    <n v="878.3"/>
    <x v="58"/>
    <d v="2024-07-03T00:00:00"/>
    <n v="972"/>
    <x v="61"/>
    <d v="2024-08-13T00:00:00"/>
    <n v="1037.05"/>
    <x v="69"/>
    <d v="2024-08-30T00:00:00"/>
    <n v="1095"/>
    <x v="66"/>
    <d v="2024-09-06T00:00:00"/>
    <n v="1175"/>
    <x v="66"/>
    <d v="2024-09-10T00:00:00"/>
    <n v="1299"/>
    <x v="58"/>
    <d v="2024-09-10T00:00:00"/>
    <n v="1299"/>
    <x v="0"/>
    <m/>
    <m/>
    <x v="0"/>
    <m/>
    <m/>
    <x v="1"/>
  </r>
  <r>
    <x v="157"/>
    <x v="157"/>
    <n v="1083"/>
    <d v="2021-07-29T00:00:00"/>
    <x v="3"/>
    <n v="7"/>
    <n v="2111.85"/>
    <n v="2977.8"/>
    <d v="2021-11-03T00:00:00"/>
    <n v="932.25"/>
    <d v="2024-09-02T00:00:00"/>
    <m/>
    <m/>
    <m/>
    <x v="1"/>
    <d v="2021-07-29T00:00:00"/>
    <n v="2534.1999999999998"/>
    <x v="1"/>
    <d v="2021-07-29T00:00:00"/>
    <n v="2534.1999999999998"/>
    <x v="1"/>
    <d v="2021-07-29T00:00:00"/>
    <n v="2534.1999999999998"/>
    <x v="1"/>
    <d v="2021-07-29T00:00:00"/>
    <n v="2534.1999999999998"/>
    <x v="1"/>
    <d v="2021-07-29T00:00:00"/>
    <n v="2534.1999999999998"/>
    <x v="1"/>
    <d v="2021-07-29T00:00:00"/>
    <n v="2534.1999999999998"/>
    <x v="1"/>
    <d v="2021-07-29T00:00:00"/>
    <n v="2534.1999999999998"/>
    <x v="1"/>
    <d v="2021-07-29T00:00:00"/>
    <n v="2534.1999999999998"/>
    <x v="1"/>
    <d v="2021-07-29T00:00:00"/>
    <n v="2534.1999999999998"/>
    <x v="1"/>
    <d v="2021-07-29T00:00:00"/>
    <n v="2534.1999999999998"/>
    <x v="1"/>
  </r>
  <r>
    <x v="158"/>
    <x v="158"/>
    <n v="76"/>
    <d v="2021-07-23T00:00:00"/>
    <x v="3"/>
    <n v="7"/>
    <n v="116"/>
    <n v="286.45"/>
    <d v="2024-09-13T00:00:00"/>
    <n v="40.6"/>
    <d v="2022-07-27T00:00:00"/>
    <m/>
    <m/>
    <m/>
    <x v="1"/>
    <d v="2021-07-23T00:00:00"/>
    <n v="138.9"/>
    <x v="1"/>
    <d v="2021-07-23T00:00:00"/>
    <n v="138.9"/>
    <x v="1"/>
    <d v="2021-07-23T00:00:00"/>
    <n v="138.9"/>
    <x v="1"/>
    <d v="2021-07-23T00:00:00"/>
    <n v="138.9"/>
    <x v="1"/>
    <d v="2021-07-23T00:00:00"/>
    <n v="138.9"/>
    <x v="1"/>
    <d v="2021-07-23T00:00:00"/>
    <n v="138.9"/>
    <x v="1"/>
    <d v="2021-07-23T00:00:00"/>
    <n v="138.9"/>
    <x v="1"/>
    <d v="2021-07-23T00:00:00"/>
    <n v="138.9"/>
    <x v="55"/>
    <d v="2021-07-27T00:00:00"/>
    <n v="147.80000000000001"/>
    <x v="53"/>
    <d v="2021-09-14T00:00:00"/>
    <n v="152.75"/>
    <x v="1"/>
  </r>
  <r>
    <x v="159"/>
    <x v="159"/>
    <n v="837"/>
    <d v="2021-07-19T00:00:00"/>
    <x v="3"/>
    <n v="7"/>
    <n v="1715.85"/>
    <n v="2267.65"/>
    <d v="2021-10-25T00:00:00"/>
    <n v="930"/>
    <d v="2023-03-28T00:00:00"/>
    <m/>
    <m/>
    <m/>
    <x v="1"/>
    <d v="2021-07-19T00:00:00"/>
    <n v="1838"/>
    <x v="1"/>
    <d v="2021-07-19T00:00:00"/>
    <n v="1838"/>
    <x v="1"/>
    <d v="2021-07-19T00:00:00"/>
    <n v="1838"/>
    <x v="1"/>
    <d v="2021-07-19T00:00:00"/>
    <n v="1838"/>
    <x v="1"/>
    <d v="2021-07-19T00:00:00"/>
    <n v="1838"/>
    <x v="1"/>
    <d v="2021-07-19T00:00:00"/>
    <n v="1838"/>
    <x v="1"/>
    <d v="2021-07-19T00:00:00"/>
    <n v="1838"/>
    <x v="1"/>
    <d v="2021-07-19T00:00:00"/>
    <n v="1838"/>
    <x v="1"/>
    <d v="2021-07-19T00:00:00"/>
    <n v="1838"/>
    <x v="1"/>
    <d v="2021-07-19T00:00:00"/>
    <n v="1838"/>
    <x v="1"/>
  </r>
  <r>
    <x v="160"/>
    <x v="160"/>
    <n v="900"/>
    <d v="2021-07-19T00:00:00"/>
    <x v="3"/>
    <n v="7"/>
    <n v="1755"/>
    <n v="2705"/>
    <d v="2022-01-05T00:00:00"/>
    <n v="1227.0999999999999"/>
    <d v="2023-03-31T00:00:00"/>
    <m/>
    <m/>
    <m/>
    <x v="1"/>
    <d v="2021-07-19T00:00:00"/>
    <n v="1770.65"/>
    <x v="1"/>
    <d v="2021-07-19T00:00:00"/>
    <n v="1770.65"/>
    <x v="1"/>
    <d v="2021-07-19T00:00:00"/>
    <n v="1770.65"/>
    <x v="1"/>
    <d v="2021-07-19T00:00:00"/>
    <n v="1770.65"/>
    <x v="1"/>
    <d v="2021-07-19T00:00:00"/>
    <n v="1770.65"/>
    <x v="1"/>
    <d v="2021-07-19T00:00:00"/>
    <n v="1770.65"/>
    <x v="1"/>
    <d v="2021-07-19T00:00:00"/>
    <n v="1770.65"/>
    <x v="1"/>
    <d v="2021-07-19T00:00:00"/>
    <n v="1770.65"/>
    <x v="1"/>
    <d v="2021-07-19T00:00:00"/>
    <n v="1770.65"/>
    <x v="54"/>
    <d v="2021-09-15T00:00:00"/>
    <n v="1849.85"/>
    <x v="1"/>
  </r>
  <r>
    <x v="161"/>
    <x v="161"/>
    <n v="296"/>
    <d v="2021-07-05T00:00:00"/>
    <x v="3"/>
    <n v="7"/>
    <n v="350"/>
    <n v="431.75"/>
    <d v="2024-02-08T00:00:00"/>
    <n v="191.5"/>
    <d v="2024-06-04T00:00:00"/>
    <m/>
    <m/>
    <m/>
    <x v="1"/>
    <d v="2021-07-05T00:00:00"/>
    <n v="368"/>
    <x v="1"/>
    <d v="2021-07-05T00:00:00"/>
    <n v="368"/>
    <x v="59"/>
    <d v="2024-01-08T00:00:00"/>
    <n v="390.9"/>
    <x v="62"/>
    <d v="2024-02-08T00:00:00"/>
    <n v="431.75"/>
    <x v="0"/>
    <m/>
    <m/>
    <x v="0"/>
    <m/>
    <m/>
    <x v="0"/>
    <m/>
    <m/>
    <x v="0"/>
    <m/>
    <m/>
    <x v="0"/>
    <m/>
    <m/>
    <x v="0"/>
    <m/>
    <m/>
    <x v="1"/>
  </r>
  <r>
    <x v="162"/>
    <x v="162"/>
    <n v="825"/>
    <d v="2021-06-28T00:00:00"/>
    <x v="3"/>
    <n v="6"/>
    <n v="1009"/>
    <n v="2866.15"/>
    <d v="2024-09-12T00:00:00"/>
    <n v="539.15"/>
    <d v="2024-09-18T00:00:00"/>
    <m/>
    <m/>
    <m/>
    <x v="1"/>
    <d v="2021-06-28T00:00:00"/>
    <n v="1059"/>
    <x v="1"/>
    <d v="2021-06-28T00:00:00"/>
    <n v="1059"/>
    <x v="49"/>
    <d v="2021-07-05T00:00:00"/>
    <n v="1136"/>
    <x v="30"/>
    <d v="2021-07-12T00:00:00"/>
    <n v="1211"/>
    <x v="70"/>
    <d v="2021-07-14T00:00:00"/>
    <n v="1274"/>
    <x v="67"/>
    <d v="2021-07-15T00:00:00"/>
    <n v="1325"/>
    <x v="67"/>
    <d v="2021-12-06T00:00:00"/>
    <n v="1426"/>
    <x v="59"/>
    <d v="2021-12-30T00:00:00"/>
    <n v="1494.95"/>
    <x v="56"/>
    <d v="2022-09-30T00:00:00"/>
    <n v="1573.9"/>
    <x v="55"/>
    <d v="2022-11-15T00:00:00"/>
    <n v="1668.4"/>
    <x v="1"/>
  </r>
  <r>
    <x v="163"/>
    <x v="163"/>
    <n v="428"/>
    <d v="2021-06-28T00:00:00"/>
    <x v="3"/>
    <n v="6"/>
    <n v="550"/>
    <n v="1346.1"/>
    <d v="2024-07-22T00:00:00"/>
    <n v="407.6"/>
    <d v="2022-02-24T00:00:00"/>
    <m/>
    <m/>
    <m/>
    <x v="1"/>
    <d v="2021-06-28T00:00:00"/>
    <n v="652"/>
    <x v="1"/>
    <d v="2021-06-28T00:00:00"/>
    <n v="652"/>
    <x v="1"/>
    <d v="2021-06-28T00:00:00"/>
    <n v="652"/>
    <x v="1"/>
    <d v="2021-06-28T00:00:00"/>
    <n v="652"/>
    <x v="1"/>
    <d v="2021-06-28T00:00:00"/>
    <n v="652"/>
    <x v="68"/>
    <d v="2023-07-20T00:00:00"/>
    <n v="741.75"/>
    <x v="68"/>
    <d v="2023-07-20T00:00:00"/>
    <n v="741.75"/>
    <x v="60"/>
    <d v="2023-07-21T00:00:00"/>
    <n v="792.35"/>
    <x v="57"/>
    <d v="2023-07-24T00:00:00"/>
    <n v="898.9"/>
    <x v="56"/>
    <d v="2023-07-24T00:00:00"/>
    <n v="898.9"/>
    <x v="1"/>
  </r>
  <r>
    <x v="164"/>
    <x v="164"/>
    <n v="306"/>
    <d v="2021-06-24T00:00:00"/>
    <x v="3"/>
    <n v="6"/>
    <n v="380"/>
    <n v="908.9"/>
    <d v="2024-09-17T00:00:00"/>
    <n v="254.55"/>
    <d v="2023-03-29T00:00:00"/>
    <m/>
    <m/>
    <m/>
    <x v="1"/>
    <d v="2021-06-24T00:00:00"/>
    <n v="399"/>
    <x v="1"/>
    <d v="2021-06-24T00:00:00"/>
    <n v="399"/>
    <x v="1"/>
    <d v="2021-06-24T00:00:00"/>
    <n v="399"/>
    <x v="63"/>
    <d v="2021-07-09T00:00:00"/>
    <n v="428.4"/>
    <x v="5"/>
    <d v="2021-07-20T00:00:00"/>
    <n v="461.15"/>
    <x v="69"/>
    <d v="2023-09-04T00:00:00"/>
    <n v="494.35"/>
    <x v="69"/>
    <d v="2023-12-08T00:00:00"/>
    <n v="525.95000000000005"/>
    <x v="61"/>
    <d v="2023-12-21T00:00:00"/>
    <n v="573.20000000000005"/>
    <x v="58"/>
    <d v="2023-12-22T00:00:00"/>
    <n v="612"/>
    <x v="57"/>
    <d v="2023-12-22T00:00:00"/>
    <n v="612"/>
    <x v="1"/>
  </r>
  <r>
    <x v="165"/>
    <x v="165"/>
    <n v="291"/>
    <d v="2021-06-24T00:00:00"/>
    <x v="3"/>
    <n v="6"/>
    <n v="301"/>
    <n v="839.9"/>
    <d v="2021-12-14T00:00:00"/>
    <n v="295"/>
    <d v="2021-06-24T00:00:00"/>
    <m/>
    <m/>
    <m/>
    <x v="1"/>
    <d v="2021-06-24T00:00:00"/>
    <n v="361.2"/>
    <x v="1"/>
    <d v="2021-06-24T00:00:00"/>
    <n v="361.2"/>
    <x v="39"/>
    <d v="2021-06-25T00:00:00"/>
    <n v="413.9"/>
    <x v="2"/>
    <d v="2021-06-25T00:00:00"/>
    <n v="413.9"/>
    <x v="5"/>
    <d v="2021-07-20T00:00:00"/>
    <n v="456.9"/>
    <x v="70"/>
    <d v="2021-08-09T00:00:00"/>
    <n v="486.7"/>
    <x v="70"/>
    <d v="2021-08-10T00:00:00"/>
    <n v="559.4"/>
    <x v="16"/>
    <d v="2021-08-10T00:00:00"/>
    <n v="559.4"/>
    <x v="59"/>
    <d v="2021-08-10T00:00:00"/>
    <n v="559.4"/>
    <x v="58"/>
    <d v="2021-09-13T00:00:00"/>
    <n v="589.29999999999995"/>
    <x v="1"/>
  </r>
  <r>
    <x v="166"/>
    <x v="166"/>
    <n v="486"/>
    <d v="2021-04-19T00:00:00"/>
    <x v="3"/>
    <n v="4"/>
    <n v="436"/>
    <n v="1649.95"/>
    <d v="2024-06-18T00:00:00"/>
    <n v="422.6"/>
    <d v="2021-04-19T00:00:00"/>
    <m/>
    <m/>
    <m/>
    <x v="35"/>
    <d v="2021-04-22T00:00:00"/>
    <n v="542.75"/>
    <x v="19"/>
    <d v="2021-04-26T00:00:00"/>
    <n v="586"/>
    <x v="60"/>
    <d v="2021-05-07T00:00:00"/>
    <n v="638"/>
    <x v="7"/>
    <d v="2021-05-10T00:00:00"/>
    <n v="758.1"/>
    <x v="29"/>
    <d v="2021-05-10T00:00:00"/>
    <n v="758.1"/>
    <x v="26"/>
    <d v="2021-07-09T00:00:00"/>
    <n v="789"/>
    <x v="71"/>
    <d v="2021-07-14T00:00:00"/>
    <n v="826.95"/>
    <x v="62"/>
    <d v="2021-07-27T00:00:00"/>
    <n v="885"/>
    <x v="60"/>
    <d v="2021-08-02T00:00:00"/>
    <n v="928.1"/>
    <x v="59"/>
    <d v="2021-08-31T00:00:00"/>
    <n v="973.25"/>
    <x v="1"/>
  </r>
  <r>
    <x v="167"/>
    <x v="167"/>
    <n v="1101"/>
    <d v="2021-03-30T00:00:00"/>
    <x v="3"/>
    <n v="3"/>
    <n v="1990"/>
    <n v="3356"/>
    <d v="2021-10-11T00:00:00"/>
    <n v="480.35"/>
    <d v="2022-11-17T00:00:00"/>
    <m/>
    <m/>
    <m/>
    <x v="1"/>
    <d v="2021-03-30T00:00:00"/>
    <n v="2024.9"/>
    <x v="1"/>
    <d v="2021-03-30T00:00:00"/>
    <n v="2024.9"/>
    <x v="1"/>
    <d v="2021-03-30T00:00:00"/>
    <n v="2024.9"/>
    <x v="1"/>
    <d v="2021-03-30T00:00:00"/>
    <n v="2024.9"/>
    <x v="1"/>
    <d v="2021-03-30T00:00:00"/>
    <n v="2024.9"/>
    <x v="1"/>
    <d v="2021-03-30T00:00:00"/>
    <n v="2024.9"/>
    <x v="1"/>
    <d v="2021-03-30T00:00:00"/>
    <n v="2024.9"/>
    <x v="1"/>
    <d v="2021-03-30T00:00:00"/>
    <n v="2024.9"/>
    <x v="61"/>
    <d v="2021-09-15T00:00:00"/>
    <n v="2214"/>
    <x v="60"/>
    <d v="2021-09-15T00:00:00"/>
    <n v="2214"/>
    <x v="1"/>
  </r>
  <r>
    <x v="168"/>
    <x v="168"/>
    <n v="305"/>
    <d v="2021-03-26T00:00:00"/>
    <x v="3"/>
    <n v="3"/>
    <n v="292"/>
    <n v="296.35000000000002"/>
    <d v="2021-03-26T00:00:00"/>
    <n v="77"/>
    <d v="2022-07-01T00:00:00"/>
    <m/>
    <m/>
    <m/>
    <x v="0"/>
    <m/>
    <m/>
    <x v="0"/>
    <m/>
    <m/>
    <x v="0"/>
    <m/>
    <m/>
    <x v="0"/>
    <m/>
    <m/>
    <x v="0"/>
    <m/>
    <m/>
    <x v="0"/>
    <m/>
    <m/>
    <x v="0"/>
    <m/>
    <m/>
    <x v="0"/>
    <m/>
    <m/>
    <x v="0"/>
    <m/>
    <m/>
    <x v="0"/>
    <m/>
    <m/>
    <x v="1"/>
  </r>
  <r>
    <x v="169"/>
    <x v="169"/>
    <n v="87"/>
    <d v="2021-03-26T00:00:00"/>
    <x v="3"/>
    <n v="3"/>
    <n v="73.95"/>
    <n v="749"/>
    <d v="2024-09-13T00:00:00"/>
    <n v="55.05"/>
    <d v="2022-06-20T00:00:00"/>
    <m/>
    <m/>
    <m/>
    <x v="36"/>
    <d v="2022-09-15T00:00:00"/>
    <n v="101.4"/>
    <x v="46"/>
    <d v="2022-10-07T00:00:00"/>
    <n v="104.65"/>
    <x v="61"/>
    <d v="2022-12-05T00:00:00"/>
    <n v="116.4"/>
    <x v="64"/>
    <d v="2022-12-13T00:00:00"/>
    <n v="122.95"/>
    <x v="71"/>
    <d v="2022-12-20T00:00:00"/>
    <n v="131.80000000000001"/>
    <x v="71"/>
    <d v="2023-06-28T00:00:00"/>
    <n v="143.75"/>
    <x v="72"/>
    <d v="2023-06-30T00:00:00"/>
    <n v="148.6"/>
    <x v="63"/>
    <d v="2023-07-07T00:00:00"/>
    <n v="166.5"/>
    <x v="62"/>
    <d v="2023-07-07T00:00:00"/>
    <n v="166.5"/>
    <x v="61"/>
    <d v="2023-07-11T00:00:00"/>
    <n v="175.9"/>
    <x v="1"/>
  </r>
  <r>
    <x v="170"/>
    <x v="170"/>
    <n v="1490"/>
    <d v="2021-03-25T00:00:00"/>
    <x v="3"/>
    <n v="3"/>
    <n v="1359"/>
    <n v="6679.65"/>
    <d v="2024-08-26T00:00:00"/>
    <n v="1245"/>
    <d v="2021-04-22T00:00:00"/>
    <m/>
    <m/>
    <m/>
    <x v="10"/>
    <d v="2021-05-26T00:00:00"/>
    <n v="1648"/>
    <x v="47"/>
    <d v="2021-06-02T00:00:00"/>
    <n v="1794"/>
    <x v="62"/>
    <d v="2021-07-05T00:00:00"/>
    <n v="2094"/>
    <x v="65"/>
    <d v="2021-07-05T00:00:00"/>
    <n v="2094"/>
    <x v="72"/>
    <d v="2021-09-24T00:00:00"/>
    <n v="2242"/>
    <x v="72"/>
    <d v="2021-10-13T00:00:00"/>
    <n v="2540"/>
    <x v="73"/>
    <d v="2021-10-13T00:00:00"/>
    <n v="2540"/>
    <x v="64"/>
    <d v="2021-10-19T00:00:00"/>
    <n v="2710"/>
    <x v="63"/>
    <d v="2022-07-29T00:00:00"/>
    <n v="2853.9"/>
    <x v="62"/>
    <d v="2022-09-20T00:00:00"/>
    <n v="2994.85"/>
    <x v="1"/>
  </r>
  <r>
    <x v="171"/>
    <x v="171"/>
    <n v="130"/>
    <d v="2021-03-25T00:00:00"/>
    <x v="3"/>
    <n v="3"/>
    <n v="155.5"/>
    <n v="628"/>
    <d v="2021-09-16T00:00:00"/>
    <n v="143.25"/>
    <d v="2021-03-25T00:00:00"/>
    <m/>
    <m/>
    <m/>
    <x v="1"/>
    <d v="2021-03-25T00:00:00"/>
    <n v="174.6"/>
    <x v="1"/>
    <d v="2021-03-25T00:00:00"/>
    <n v="174.6"/>
    <x v="1"/>
    <d v="2021-03-25T00:00:00"/>
    <n v="174.6"/>
    <x v="2"/>
    <d v="2021-03-26T00:00:00"/>
    <n v="194.4"/>
    <x v="8"/>
    <d v="2021-04-07T00:00:00"/>
    <n v="209"/>
    <x v="2"/>
    <d v="2021-04-07T00:00:00"/>
    <n v="209"/>
    <x v="74"/>
    <d v="2021-05-04T00:00:00"/>
    <n v="237.85"/>
    <x v="6"/>
    <d v="2021-05-04T00:00:00"/>
    <n v="237.85"/>
    <x v="64"/>
    <d v="2021-07-02T00:00:00"/>
    <n v="250.7"/>
    <x v="63"/>
    <d v="2021-07-07T00:00:00"/>
    <n v="263.8"/>
    <x v="1"/>
  </r>
  <r>
    <x v="172"/>
    <x v="172"/>
    <n v="187"/>
    <d v="2021-03-19T00:00:00"/>
    <x v="3"/>
    <n v="3"/>
    <n v="212.25"/>
    <n v="717.65"/>
    <d v="2021-09-17T00:00:00"/>
    <n v="37"/>
    <d v="2023-10-26T00:00:00"/>
    <m/>
    <m/>
    <m/>
    <x v="1"/>
    <d v="2021-03-19T00:00:00"/>
    <n v="234"/>
    <x v="1"/>
    <d v="2021-03-19T00:00:00"/>
    <n v="234"/>
    <x v="63"/>
    <d v="2021-05-19T00:00:00"/>
    <n v="252.7"/>
    <x v="23"/>
    <d v="2021-05-24T00:00:00"/>
    <n v="269.85000000000002"/>
    <x v="73"/>
    <d v="2021-05-25T00:00:00"/>
    <n v="294.5"/>
    <x v="73"/>
    <d v="2021-05-31T00:00:00"/>
    <n v="334.25"/>
    <x v="75"/>
    <d v="2021-05-31T00:00:00"/>
    <n v="334.25"/>
    <x v="65"/>
    <d v="2021-06-01T00:00:00"/>
    <n v="344"/>
    <x v="22"/>
    <d v="2021-06-02T00:00:00"/>
    <n v="365.6"/>
    <x v="64"/>
    <d v="2021-06-03T00:00:00"/>
    <n v="397.7"/>
    <x v="1"/>
  </r>
  <r>
    <x v="173"/>
    <x v="173"/>
    <n v="575"/>
    <d v="2021-03-15T00:00:00"/>
    <x v="3"/>
    <n v="3"/>
    <n v="1050"/>
    <n v="2920.35"/>
    <d v="2023-09-11T00:00:00"/>
    <n v="860"/>
    <d v="2021-03-19T00:00:00"/>
    <m/>
    <m/>
    <m/>
    <x v="1"/>
    <d v="2021-03-15T00:00:00"/>
    <n v="1154.9000000000001"/>
    <x v="1"/>
    <d v="2021-03-15T00:00:00"/>
    <n v="1154.9000000000001"/>
    <x v="1"/>
    <d v="2021-03-15T00:00:00"/>
    <n v="1154.9000000000001"/>
    <x v="1"/>
    <d v="2021-03-15T00:00:00"/>
    <n v="1154.9000000000001"/>
    <x v="1"/>
    <d v="2021-03-15T00:00:00"/>
    <n v="1154.9000000000001"/>
    <x v="1"/>
    <d v="2021-03-15T00:00:00"/>
    <n v="1154.9000000000001"/>
    <x v="1"/>
    <d v="2021-03-15T00:00:00"/>
    <n v="1154.9000000000001"/>
    <x v="1"/>
    <d v="2021-03-15T00:00:00"/>
    <n v="1154.9000000000001"/>
    <x v="1"/>
    <d v="2021-03-15T00:00:00"/>
    <n v="1154.9000000000001"/>
    <x v="1"/>
    <d v="2021-03-15T00:00:00"/>
    <n v="1154.9000000000001"/>
    <x v="1"/>
  </r>
  <r>
    <x v="174"/>
    <x v="174"/>
    <n v="627"/>
    <d v="2021-03-05T00:00:00"/>
    <x v="3"/>
    <n v="3"/>
    <n v="900"/>
    <n v="945"/>
    <d v="2021-03-05T00:00:00"/>
    <n v="265"/>
    <d v="2023-03-29T00:00:00"/>
    <m/>
    <m/>
    <m/>
    <x v="1"/>
    <d v="2021-03-05T00:00:00"/>
    <n v="945"/>
    <x v="1"/>
    <d v="2021-03-05T00:00:00"/>
    <n v="945"/>
    <x v="1"/>
    <d v="2021-03-05T00:00:00"/>
    <n v="945"/>
    <x v="1"/>
    <d v="2021-03-05T00:00:00"/>
    <n v="945"/>
    <x v="1"/>
    <d v="2021-03-05T00:00:00"/>
    <n v="945"/>
    <x v="0"/>
    <m/>
    <m/>
    <x v="0"/>
    <m/>
    <m/>
    <x v="0"/>
    <m/>
    <m/>
    <x v="0"/>
    <m/>
    <m/>
    <x v="0"/>
    <m/>
    <m/>
    <x v="1"/>
  </r>
  <r>
    <x v="175"/>
    <x v="175"/>
    <n v="94"/>
    <d v="2021-02-26T00:00:00"/>
    <x v="3"/>
    <n v="2"/>
    <n v="109"/>
    <n v="617.79999999999995"/>
    <d v="2024-07-12T00:00:00"/>
    <n v="84"/>
    <d v="2022-03-31T00:00:00"/>
    <m/>
    <m/>
    <m/>
    <x v="1"/>
    <d v="2021-02-26T00:00:00"/>
    <n v="127.85"/>
    <x v="1"/>
    <d v="2021-02-26T00:00:00"/>
    <n v="127.85"/>
    <x v="1"/>
    <d v="2021-02-26T00:00:00"/>
    <n v="127.85"/>
    <x v="3"/>
    <d v="2021-03-01T00:00:00"/>
    <n v="145.6"/>
    <x v="49"/>
    <d v="2021-03-01T00:00:00"/>
    <n v="145.6"/>
    <x v="3"/>
    <d v="2021-03-02T00:00:00"/>
    <n v="174.7"/>
    <x v="3"/>
    <d v="2021-03-02T00:00:00"/>
    <n v="174.7"/>
    <x v="66"/>
    <d v="2021-03-02T00:00:00"/>
    <n v="174.7"/>
    <x v="65"/>
    <d v="2021-03-03T00:00:00"/>
    <n v="189.7"/>
    <x v="65"/>
    <d v="2021-03-03T00:00:00"/>
    <n v="189.7"/>
    <x v="1"/>
  </r>
  <r>
    <x v="176"/>
    <x v="176"/>
    <n v="385"/>
    <d v="2021-02-05T00:00:00"/>
    <x v="3"/>
    <n v="2"/>
    <n v="498"/>
    <n v="1133.7"/>
    <d v="2021-10-18T00:00:00"/>
    <n v="353.1"/>
    <d v="2023-03-20T00:00:00"/>
    <m/>
    <m/>
    <m/>
    <x v="1"/>
    <d v="2021-02-05T00:00:00"/>
    <n v="498"/>
    <x v="1"/>
    <d v="2021-02-05T00:00:00"/>
    <n v="498"/>
    <x v="49"/>
    <d v="2021-02-12T00:00:00"/>
    <n v="545.45000000000005"/>
    <x v="4"/>
    <d v="2021-02-12T00:00:00"/>
    <n v="545.45000000000005"/>
    <x v="74"/>
    <d v="2021-05-19T00:00:00"/>
    <n v="612.75"/>
    <x v="32"/>
    <d v="2021-05-21T00:00:00"/>
    <n v="653.95000000000005"/>
    <x v="76"/>
    <d v="2021-05-25T00:00:00"/>
    <n v="683.7"/>
    <x v="67"/>
    <d v="2021-06-29T00:00:00"/>
    <n v="734"/>
    <x v="66"/>
    <d v="2021-06-29T00:00:00"/>
    <n v="734"/>
    <x v="66"/>
    <d v="2021-06-30T00:00:00"/>
    <n v="786.65"/>
    <x v="1"/>
  </r>
  <r>
    <x v="177"/>
    <x v="177"/>
    <n v="518"/>
    <d v="2021-02-03T00:00:00"/>
    <x v="3"/>
    <n v="2"/>
    <n v="618.79999999999995"/>
    <n v="1274"/>
    <d v="2024-09-13T00:00:00"/>
    <n v="440"/>
    <d v="2021-04-12T00:00:00"/>
    <m/>
    <m/>
    <m/>
    <x v="1"/>
    <d v="2021-02-03T00:00:00"/>
    <n v="640"/>
    <x v="1"/>
    <d v="2021-02-03T00:00:00"/>
    <n v="640"/>
    <x v="64"/>
    <d v="2021-10-12T00:00:00"/>
    <n v="691.8"/>
    <x v="66"/>
    <d v="2021-11-01T00:00:00"/>
    <n v="732.1"/>
    <x v="75"/>
    <d v="2021-11-17T00:00:00"/>
    <n v="807.95"/>
    <x v="74"/>
    <d v="2021-11-25T00:00:00"/>
    <n v="884"/>
    <x v="77"/>
    <d v="2021-11-25T00:00:00"/>
    <n v="884"/>
    <x v="68"/>
    <d v="2022-08-12T00:00:00"/>
    <n v="945"/>
    <x v="67"/>
    <d v="2022-08-16T00:00:00"/>
    <n v="1004.55"/>
    <x v="67"/>
    <d v="2023-12-07T00:00:00"/>
    <n v="1038"/>
    <x v="1"/>
  </r>
  <r>
    <x v="178"/>
    <x v="178"/>
    <n v="1490"/>
    <d v="2021-02-02T00:00:00"/>
    <x v="3"/>
    <n v="2"/>
    <n v="2607.5"/>
    <n v="3329.95"/>
    <d v="2021-02-03T00:00:00"/>
    <n v="981.95"/>
    <d v="2023-03-28T00:00:00"/>
    <m/>
    <m/>
    <m/>
    <x v="1"/>
    <d v="2021-02-02T00:00:00"/>
    <n v="3129"/>
    <x v="1"/>
    <d v="2021-02-02T00:00:00"/>
    <n v="3129"/>
    <x v="1"/>
    <d v="2021-02-02T00:00:00"/>
    <n v="3129"/>
    <x v="1"/>
    <d v="2021-02-02T00:00:00"/>
    <n v="3129"/>
    <x v="1"/>
    <d v="2021-02-02T00:00:00"/>
    <n v="3129"/>
    <x v="1"/>
    <d v="2021-02-02T00:00:00"/>
    <n v="3129"/>
    <x v="1"/>
    <d v="2021-02-02T00:00:00"/>
    <n v="3129"/>
    <x v="1"/>
    <d v="2021-02-02T00:00:00"/>
    <n v="3129"/>
    <x v="1"/>
    <d v="2021-02-02T00:00:00"/>
    <n v="3129"/>
    <x v="1"/>
    <d v="2021-02-02T00:00:00"/>
    <n v="3129"/>
    <x v="1"/>
  </r>
  <r>
    <x v="179"/>
    <x v="179"/>
    <n v="315"/>
    <d v="2021-01-01T00:00:00"/>
    <x v="3"/>
    <n v="1"/>
    <n v="436.1"/>
    <n v="902"/>
    <d v="2024-07-26T00:00:00"/>
    <n v="234"/>
    <d v="2022-05-26T00:00:00"/>
    <m/>
    <m/>
    <m/>
    <x v="1"/>
    <d v="2021-01-01T00:00:00"/>
    <n v="489.9"/>
    <x v="1"/>
    <d v="2021-01-01T00:00:00"/>
    <n v="489.9"/>
    <x v="1"/>
    <d v="2021-01-01T00:00:00"/>
    <n v="489.9"/>
    <x v="1"/>
    <d v="2021-01-01T00:00:00"/>
    <n v="489.9"/>
    <x v="1"/>
    <d v="2021-01-01T00:00:00"/>
    <n v="489.9"/>
    <x v="75"/>
    <d v="2023-11-13T00:00:00"/>
    <n v="532.9"/>
    <x v="78"/>
    <d v="2024-01-10T00:00:00"/>
    <n v="557"/>
    <x v="69"/>
    <d v="2024-01-31T00:00:00"/>
    <n v="579.1"/>
    <x v="68"/>
    <d v="2024-07-05T00:00:00"/>
    <n v="612"/>
    <x v="68"/>
    <d v="2024-07-18T00:00:00"/>
    <n v="636.79999999999995"/>
    <x v="1"/>
  </r>
  <r>
    <x v="180"/>
    <x v="180"/>
    <n v="288"/>
    <d v="2020-12-24T00:00:00"/>
    <x v="4"/>
    <n v="12"/>
    <n v="500"/>
    <n v="2009"/>
    <d v="2024-09-12T00:00:00"/>
    <n v="245"/>
    <d v="2022-06-20T00:00:00"/>
    <m/>
    <m/>
    <m/>
    <x v="1"/>
    <d v="2020-12-24T00:00:00"/>
    <n v="600"/>
    <x v="1"/>
    <d v="2020-12-24T00:00:00"/>
    <n v="600"/>
    <x v="1"/>
    <d v="2020-12-24T00:00:00"/>
    <n v="600"/>
    <x v="1"/>
    <d v="2020-12-24T00:00:00"/>
    <n v="600"/>
    <x v="1"/>
    <d v="2020-12-24T00:00:00"/>
    <n v="600"/>
    <x v="1"/>
    <d v="2020-12-24T00:00:00"/>
    <n v="600"/>
    <x v="1"/>
    <d v="2020-12-24T00:00:00"/>
    <n v="600"/>
    <x v="1"/>
    <d v="2020-12-24T00:00:00"/>
    <n v="600"/>
    <x v="1"/>
    <d v="2020-12-24T00:00:00"/>
    <n v="600"/>
    <x v="1"/>
    <d v="2020-12-24T00:00:00"/>
    <n v="600"/>
    <x v="1"/>
  </r>
  <r>
    <x v="181"/>
    <x v="181"/>
    <n v="60"/>
    <d v="2020-12-14T00:00:00"/>
    <x v="4"/>
    <n v="12"/>
    <n v="112.5"/>
    <n v="213.8"/>
    <d v="2020-12-17T00:00:00"/>
    <n v="108.4"/>
    <d v="2020-12-14T00:00:00"/>
    <m/>
    <m/>
    <m/>
    <x v="1"/>
    <d v="2020-12-14T00:00:00"/>
    <n v="135"/>
    <x v="1"/>
    <d v="2020-12-14T00:00:00"/>
    <n v="135"/>
    <x v="1"/>
    <d v="2020-12-14T00:00:00"/>
    <n v="135"/>
    <x v="1"/>
    <d v="2020-12-14T00:00:00"/>
    <n v="135"/>
    <x v="1"/>
    <d v="2020-12-14T00:00:00"/>
    <n v="135"/>
    <x v="1"/>
    <d v="2020-12-14T00:00:00"/>
    <n v="135"/>
    <x v="1"/>
    <d v="2020-12-14T00:00:00"/>
    <n v="135"/>
    <x v="1"/>
    <d v="2020-12-14T00:00:00"/>
    <n v="135"/>
    <x v="1"/>
    <d v="2020-12-14T00:00:00"/>
    <n v="135"/>
    <x v="1"/>
    <d v="2020-12-14T00:00:00"/>
    <n v="135"/>
    <x v="1"/>
  </r>
  <r>
    <x v="182"/>
    <x v="182"/>
    <n v="1500"/>
    <d v="2020-11-20T00:00:00"/>
    <x v="4"/>
    <n v="11"/>
    <n v="1710"/>
    <n v="4350"/>
    <d v="2021-08-12T00:00:00"/>
    <n v="861"/>
    <d v="2023-05-22T00:00:00"/>
    <m/>
    <m/>
    <m/>
    <x v="1"/>
    <d v="2020-11-20T00:00:00"/>
    <n v="1850"/>
    <x v="1"/>
    <d v="2020-11-20T00:00:00"/>
    <n v="1850"/>
    <x v="2"/>
    <d v="2020-11-23T00:00:00"/>
    <n v="2183.4499999999998"/>
    <x v="3"/>
    <d v="2020-11-23T00:00:00"/>
    <n v="2183.4499999999998"/>
    <x v="24"/>
    <d v="2020-12-07T00:00:00"/>
    <n v="2438.85"/>
    <x v="67"/>
    <d v="2020-12-07T00:00:00"/>
    <n v="2438.85"/>
    <x v="79"/>
    <d v="2021-03-04T00:00:00"/>
    <n v="2693"/>
    <x v="70"/>
    <d v="2021-03-16T00:00:00"/>
    <n v="2783.85"/>
    <x v="69"/>
    <d v="2021-04-20T00:00:00"/>
    <n v="2873"/>
    <x v="69"/>
    <d v="2021-05-18T00:00:00"/>
    <n v="3136.45"/>
    <x v="1"/>
  </r>
  <r>
    <x v="183"/>
    <x v="183"/>
    <n v="33"/>
    <d v="2020-11-02T00:00:00"/>
    <x v="4"/>
    <n v="11"/>
    <n v="31.1"/>
    <n v="116.5"/>
    <d v="2024-01-12T00:00:00"/>
    <n v="30.05"/>
    <d v="2020-11-02T00:00:00"/>
    <m/>
    <m/>
    <m/>
    <x v="37"/>
    <d v="2020-11-23T00:00:00"/>
    <n v="38"/>
    <x v="48"/>
    <d v="2020-12-17T00:00:00"/>
    <n v="39.6"/>
    <x v="65"/>
    <d v="2021-02-02T00:00:00"/>
    <n v="43.35"/>
    <x v="67"/>
    <d v="2021-02-08T00:00:00"/>
    <n v="47.5"/>
    <x v="58"/>
    <d v="2021-02-18T00:00:00"/>
    <n v="51.6"/>
    <x v="76"/>
    <d v="2021-03-04T00:00:00"/>
    <n v="59.6"/>
    <x v="80"/>
    <d v="2021-03-04T00:00:00"/>
    <n v="59.6"/>
    <x v="71"/>
    <d v="2021-03-04T00:00:00"/>
    <n v="59.6"/>
    <x v="70"/>
    <d v="2021-03-05T00:00:00"/>
    <n v="68.25"/>
    <x v="70"/>
    <d v="2021-03-05T00:00:00"/>
    <n v="68.25"/>
    <x v="1"/>
  </r>
  <r>
    <x v="184"/>
    <x v="184"/>
    <n v="554"/>
    <d v="2020-10-12T00:00:00"/>
    <x v="4"/>
    <n v="10"/>
    <n v="500"/>
    <n v="1341"/>
    <d v="2024-09-18T00:00:00"/>
    <n v="471.1"/>
    <d v="2020-10-12T00:00:00"/>
    <m/>
    <m/>
    <m/>
    <x v="38"/>
    <d v="2021-03-03T00:00:00"/>
    <n v="610"/>
    <x v="49"/>
    <d v="2021-05-03T00:00:00"/>
    <n v="678.8"/>
    <x v="66"/>
    <d v="2021-05-17T00:00:00"/>
    <n v="749"/>
    <x v="38"/>
    <d v="2021-05-18T00:00:00"/>
    <n v="777"/>
    <x v="25"/>
    <d v="2021-06-10T00:00:00"/>
    <n v="836.2"/>
    <x v="77"/>
    <d v="2021-06-24T00:00:00"/>
    <n v="919.45"/>
    <x v="81"/>
    <d v="2021-07-23T00:00:00"/>
    <n v="948.85"/>
    <x v="72"/>
    <d v="2021-07-29T00:00:00"/>
    <n v="999.95"/>
    <x v="71"/>
    <d v="2021-07-30T00:00:00"/>
    <n v="1054.0999999999999"/>
    <x v="71"/>
    <d v="2021-08-18T00:00:00"/>
    <n v="1147"/>
    <x v="1"/>
  </r>
  <r>
    <x v="185"/>
    <x v="185"/>
    <n v="145"/>
    <d v="2020-10-12T00:00:00"/>
    <x v="4"/>
    <n v="10"/>
    <n v="214.9"/>
    <n v="5860"/>
    <d v="2024-07-05T00:00:00"/>
    <n v="164"/>
    <d v="2020-10-13T00:00:00"/>
    <m/>
    <m/>
    <m/>
    <x v="1"/>
    <d v="2020-10-12T00:00:00"/>
    <n v="216.95"/>
    <x v="1"/>
    <d v="2020-10-12T00:00:00"/>
    <n v="216.95"/>
    <x v="1"/>
    <d v="2020-10-12T00:00:00"/>
    <n v="216.95"/>
    <x v="1"/>
    <d v="2020-10-12T00:00:00"/>
    <n v="216.95"/>
    <x v="76"/>
    <d v="2020-12-16T00:00:00"/>
    <n v="227.9"/>
    <x v="26"/>
    <d v="2021-01-01T00:00:00"/>
    <n v="234.85"/>
    <x v="82"/>
    <d v="2021-06-07T00:00:00"/>
    <n v="274.55"/>
    <x v="73"/>
    <d v="2021-06-07T00:00:00"/>
    <n v="274.55"/>
    <x v="72"/>
    <d v="2021-06-08T00:00:00"/>
    <n v="287.75"/>
    <x v="72"/>
    <d v="2021-06-10T00:00:00"/>
    <n v="296"/>
    <x v="1"/>
  </r>
  <r>
    <x v="186"/>
    <x v="186"/>
    <n v="306"/>
    <d v="2020-10-05T00:00:00"/>
    <x v="4"/>
    <n v="10"/>
    <n v="275"/>
    <n v="1689"/>
    <d v="2021-10-13T00:00:00"/>
    <n v="222.2"/>
    <d v="2020-10-21T00:00:00"/>
    <m/>
    <m/>
    <m/>
    <x v="39"/>
    <d v="2020-10-30T00:00:00"/>
    <n v="379"/>
    <x v="21"/>
    <d v="2020-10-30T00:00:00"/>
    <n v="379"/>
    <x v="67"/>
    <d v="2020-12-07T00:00:00"/>
    <n v="408"/>
    <x v="68"/>
    <d v="2021-05-04T00:00:00"/>
    <n v="457.1"/>
    <x v="77"/>
    <d v="2021-05-05T00:00:00"/>
    <n v="460"/>
    <x v="78"/>
    <d v="2021-05-06T00:00:00"/>
    <n v="512.20000000000005"/>
    <x v="83"/>
    <d v="2021-05-07T00:00:00"/>
    <n v="563.4"/>
    <x v="74"/>
    <d v="2021-05-07T00:00:00"/>
    <n v="563.4"/>
    <x v="73"/>
    <d v="2021-05-10T00:00:00"/>
    <n v="616.70000000000005"/>
    <x v="73"/>
    <d v="2021-05-10T00:00:00"/>
    <n v="616.70000000000005"/>
    <x v="1"/>
  </r>
  <r>
    <x v="187"/>
    <x v="187"/>
    <n v="340"/>
    <d v="2020-10-01T00:00:00"/>
    <x v="4"/>
    <n v="10"/>
    <n v="731"/>
    <n v="731.25"/>
    <d v="2020-10-01T00:00:00"/>
    <n v="221"/>
    <d v="2023-03-28T00:00:00"/>
    <m/>
    <m/>
    <m/>
    <x v="1"/>
    <d v="2020-10-01T00:00:00"/>
    <n v="731.25"/>
    <x v="1"/>
    <d v="2020-10-01T00:00:00"/>
    <n v="731.25"/>
    <x v="1"/>
    <d v="2020-10-01T00:00:00"/>
    <n v="731.25"/>
    <x v="1"/>
    <d v="2020-10-01T00:00:00"/>
    <n v="731.25"/>
    <x v="1"/>
    <d v="2020-10-01T00:00:00"/>
    <n v="731.25"/>
    <x v="1"/>
    <d v="2020-10-01T00:00:00"/>
    <n v="731.25"/>
    <x v="1"/>
    <d v="2020-10-01T00:00:00"/>
    <n v="731.25"/>
    <x v="1"/>
    <d v="2020-10-01T00:00:00"/>
    <n v="731.25"/>
    <x v="1"/>
    <d v="2020-10-01T00:00:00"/>
    <n v="731.25"/>
    <x v="1"/>
    <d v="2020-10-01T00:00:00"/>
    <n v="731.25"/>
    <x v="1"/>
  </r>
  <r>
    <x v="188"/>
    <x v="188"/>
    <n v="1240"/>
    <d v="2021-05-07T00:00:00"/>
    <x v="3"/>
    <n v="5"/>
    <n v="2219.5"/>
    <n v="4910"/>
    <d v="2024-07-31T00:00:00"/>
    <n v="1260"/>
    <d v="2020-11-04T00:00:00"/>
    <m/>
    <m/>
    <m/>
    <x v="40"/>
    <d v="2020-10-05T00:00:00"/>
    <n v="1489"/>
    <x v="50"/>
    <d v="2020-10-05T00:00:00"/>
    <n v="1489"/>
    <x v="68"/>
    <d v="2020-12-18T00:00:00"/>
    <n v="1624"/>
    <x v="69"/>
    <d v="2020-12-21T00:00:00"/>
    <n v="1752"/>
    <x v="78"/>
    <d v="2020-12-29T00:00:00"/>
    <n v="1865"/>
    <x v="79"/>
    <d v="2021-02-11T00:00:00"/>
    <n v="2008"/>
    <x v="84"/>
    <d v="2021-04-19T00:00:00"/>
    <n v="2158"/>
    <x v="75"/>
    <d v="2021-04-27T00:00:00"/>
    <n v="2335"/>
    <x v="74"/>
    <d v="2021-04-28T00:00:00"/>
    <n v="2412.9499999999998"/>
    <x v="74"/>
    <d v="2021-05-21T00:00:00"/>
    <n v="2525.25"/>
    <x v="1"/>
  </r>
  <r>
    <x v="189"/>
    <x v="189"/>
    <n v="350"/>
    <d v="2020-09-21T00:00:00"/>
    <x v="4"/>
    <n v="9"/>
    <n v="717"/>
    <n v="2389"/>
    <d v="2021-10-12T00:00:00"/>
    <n v="625"/>
    <d v="2020-09-21T00:00:00"/>
    <m/>
    <m/>
    <m/>
    <x v="1"/>
    <d v="2020-09-21T00:00:00"/>
    <n v="735"/>
    <x v="1"/>
    <d v="2020-09-21T00:00:00"/>
    <n v="735"/>
    <x v="1"/>
    <d v="2020-09-21T00:00:00"/>
    <n v="735"/>
    <x v="1"/>
    <d v="2020-09-21T00:00:00"/>
    <n v="735"/>
    <x v="1"/>
    <d v="2020-09-21T00:00:00"/>
    <n v="735"/>
    <x v="1"/>
    <d v="2020-09-21T00:00:00"/>
    <n v="735"/>
    <x v="1"/>
    <d v="2020-09-21T00:00:00"/>
    <n v="735"/>
    <x v="1"/>
    <d v="2020-09-21T00:00:00"/>
    <n v="735"/>
    <x v="1"/>
    <d v="2020-09-21T00:00:00"/>
    <n v="735"/>
    <x v="1"/>
    <d v="2020-09-21T00:00:00"/>
    <n v="735"/>
    <x v="1"/>
  </r>
  <r>
    <x v="190"/>
    <x v="190"/>
    <n v="166"/>
    <d v="2020-09-17T00:00:00"/>
    <x v="4"/>
    <n v="9"/>
    <n v="350"/>
    <n v="1580"/>
    <d v="2021-07-16T00:00:00"/>
    <n v="307"/>
    <d v="2020-10-27T00:00:00"/>
    <m/>
    <m/>
    <m/>
    <x v="1"/>
    <d v="2020-09-17T00:00:00"/>
    <n v="394.95"/>
    <x v="1"/>
    <d v="2020-09-17T00:00:00"/>
    <n v="394.95"/>
    <x v="1"/>
    <d v="2020-09-17T00:00:00"/>
    <n v="394.95"/>
    <x v="1"/>
    <d v="2020-09-17T00:00:00"/>
    <n v="394.95"/>
    <x v="1"/>
    <d v="2020-09-17T00:00:00"/>
    <n v="394.95"/>
    <x v="1"/>
    <d v="2020-09-17T00:00:00"/>
    <n v="394.95"/>
    <x v="1"/>
    <d v="2020-09-17T00:00:00"/>
    <n v="394.95"/>
    <x v="1"/>
    <d v="2020-09-17T00:00:00"/>
    <n v="394.95"/>
    <x v="1"/>
    <d v="2020-09-17T00:00:00"/>
    <n v="394.95"/>
    <x v="1"/>
    <d v="2020-09-17T00:00:00"/>
    <n v="394.95"/>
    <x v="1"/>
  </r>
  <r>
    <x v="191"/>
    <x v="191"/>
    <n v="425"/>
    <d v="2020-07-23T00:00:00"/>
    <x v="4"/>
    <n v="7"/>
    <n v="669.25"/>
    <n v="1619"/>
    <d v="2021-10-12T00:00:00"/>
    <n v="536.35"/>
    <d v="2023-03-16T00:00:00"/>
    <m/>
    <m/>
    <m/>
    <x v="1"/>
    <d v="2020-07-23T00:00:00"/>
    <n v="803.1"/>
    <x v="1"/>
    <d v="2020-07-23T00:00:00"/>
    <n v="803.1"/>
    <x v="1"/>
    <d v="2020-07-23T00:00:00"/>
    <n v="803.1"/>
    <x v="1"/>
    <d v="2020-07-23T00:00:00"/>
    <n v="803.1"/>
    <x v="1"/>
    <d v="2020-07-23T00:00:00"/>
    <n v="803.1"/>
    <x v="1"/>
    <d v="2020-07-23T00:00:00"/>
    <n v="803.1"/>
    <x v="1"/>
    <d v="2020-07-23T00:00:00"/>
    <n v="803.1"/>
    <x v="1"/>
    <d v="2020-07-23T00:00:00"/>
    <n v="803.1"/>
    <x v="75"/>
    <d v="2020-08-11T00:00:00"/>
    <n v="818.8"/>
    <x v="75"/>
    <d v="2020-09-03T00:00:00"/>
    <n v="859"/>
    <x v="1"/>
  </r>
  <r>
    <x v="192"/>
    <x v="192"/>
    <n v="755"/>
    <d v="2020-03-16T00:00:00"/>
    <x v="4"/>
    <n v="3"/>
    <n v="661"/>
    <n v="1165"/>
    <d v="2021-09-01T00:00:00"/>
    <n v="495"/>
    <d v="2020-05-22T00:00:00"/>
    <m/>
    <m/>
    <m/>
    <x v="41"/>
    <d v="2020-08-19T00:00:00"/>
    <n v="836.7"/>
    <x v="51"/>
    <d v="2020-10-15T00:00:00"/>
    <n v="918.75"/>
    <x v="69"/>
    <d v="2021-01-07T00:00:00"/>
    <n v="1002.05"/>
    <x v="70"/>
    <d v="2021-02-18T00:00:00"/>
    <n v="1078.3"/>
    <x v="79"/>
    <d v="2021-02-25T00:00:00"/>
    <n v="1137.45"/>
    <x v="0"/>
    <m/>
    <m/>
    <x v="0"/>
    <m/>
    <m/>
    <x v="0"/>
    <m/>
    <m/>
    <x v="0"/>
    <m/>
    <m/>
    <x v="0"/>
    <m/>
    <m/>
    <x v="1"/>
  </r>
  <r>
    <x v="193"/>
    <x v="193"/>
    <m/>
    <m/>
    <x v="5"/>
    <m/>
    <m/>
    <m/>
    <m/>
    <m/>
    <m/>
    <m/>
    <m/>
    <m/>
    <x v="0"/>
    <m/>
    <m/>
    <x v="0"/>
    <m/>
    <m/>
    <x v="0"/>
    <m/>
    <m/>
    <x v="0"/>
    <m/>
    <m/>
    <x v="0"/>
    <m/>
    <m/>
    <x v="0"/>
    <m/>
    <m/>
    <x v="0"/>
    <m/>
    <m/>
    <x v="0"/>
    <m/>
    <m/>
    <x v="0"/>
    <m/>
    <m/>
    <x v="0"/>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1B0457-8027-474A-B20A-2119540DAAFF}" name="PivotTable3" cacheId="17"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H14:S19" firstHeaderRow="0" firstDataRow="1" firstDataCol="2" rowPageCount="12" colPageCount="1"/>
  <pivotFields count="45">
    <pivotField axis="axisRow" compact="0" outline="0" showAll="0" defaultSubtotal="0">
      <items count="194">
        <item x="25"/>
        <item x="99"/>
        <item x="124"/>
        <item x="144"/>
        <item x="79"/>
        <item x="114"/>
        <item x="125"/>
        <item x="14"/>
        <item x="18"/>
        <item x="147"/>
        <item x="134"/>
        <item x="186"/>
        <item x="179"/>
        <item x="42"/>
        <item x="149"/>
        <item x="105"/>
        <item x="0"/>
        <item x="60"/>
        <item x="92"/>
        <item x="23"/>
        <item x="48"/>
        <item x="6"/>
        <item x="4"/>
        <item x="17"/>
        <item x="29"/>
        <item x="106"/>
        <item x="43"/>
        <item x="64"/>
        <item x="11"/>
        <item x="181"/>
        <item x="131"/>
        <item x="122"/>
        <item x="39"/>
        <item x="151"/>
        <item x="13"/>
        <item x="63"/>
        <item x="187"/>
        <item x="148"/>
        <item x="160"/>
        <item x="126"/>
        <item x="188"/>
        <item x="81"/>
        <item x="170"/>
        <item x="50"/>
        <item x="87"/>
        <item x="128"/>
        <item x="20"/>
        <item x="118"/>
        <item x="153"/>
        <item x="101"/>
        <item x="93"/>
        <item x="163"/>
        <item x="54"/>
        <item x="112"/>
        <item x="172"/>
        <item x="7"/>
        <item x="110"/>
        <item x="95"/>
        <item x="16"/>
        <item x="75"/>
        <item x="115"/>
        <item x="38"/>
        <item x="44"/>
        <item x="183"/>
        <item x="61"/>
        <item x="116"/>
        <item x="35"/>
        <item x="59"/>
        <item x="143"/>
        <item x="56"/>
        <item x="108"/>
        <item x="159"/>
        <item x="58"/>
        <item x="182"/>
        <item x="156"/>
        <item x="107"/>
        <item x="24"/>
        <item x="137"/>
        <item x="32"/>
        <item x="36"/>
        <item x="190"/>
        <item x="49"/>
        <item x="111"/>
        <item x="174"/>
        <item x="89"/>
        <item x="177"/>
        <item x="62"/>
        <item x="88"/>
        <item x="90"/>
        <item x="27"/>
        <item x="161"/>
        <item x="55"/>
        <item x="178"/>
        <item x="47"/>
        <item x="103"/>
        <item x="53"/>
        <item x="9"/>
        <item x="65"/>
        <item x="33"/>
        <item x="40"/>
        <item x="28"/>
        <item x="67"/>
        <item x="37"/>
        <item x="76"/>
        <item x="46"/>
        <item x="169"/>
        <item x="104"/>
        <item x="102"/>
        <item x="96"/>
        <item x="162"/>
        <item x="22"/>
        <item x="5"/>
        <item x="154"/>
        <item x="30"/>
        <item x="97"/>
        <item x="139"/>
        <item x="171"/>
        <item x="21"/>
        <item x="120"/>
        <item x="166"/>
        <item x="91"/>
        <item x="68"/>
        <item x="185"/>
        <item x="45"/>
        <item x="129"/>
        <item x="130"/>
        <item x="180"/>
        <item x="173"/>
        <item x="51"/>
        <item x="167"/>
        <item x="84"/>
        <item x="1"/>
        <item x="150"/>
        <item x="12"/>
        <item x="141"/>
        <item x="3"/>
        <item x="117"/>
        <item x="142"/>
        <item x="31"/>
        <item x="8"/>
        <item x="119"/>
        <item x="34"/>
        <item x="74"/>
        <item x="94"/>
        <item x="175"/>
        <item x="121"/>
        <item x="41"/>
        <item x="133"/>
        <item x="77"/>
        <item x="155"/>
        <item x="191"/>
        <item x="189"/>
        <item x="70"/>
        <item x="73"/>
        <item x="145"/>
        <item x="15"/>
        <item x="140"/>
        <item x="82"/>
        <item x="192"/>
        <item x="86"/>
        <item x="132"/>
        <item x="164"/>
        <item x="69"/>
        <item x="165"/>
        <item x="19"/>
        <item x="136"/>
        <item x="176"/>
        <item x="98"/>
        <item x="127"/>
        <item x="52"/>
        <item x="168"/>
        <item x="113"/>
        <item x="138"/>
        <item x="57"/>
        <item x="157"/>
        <item x="26"/>
        <item x="135"/>
        <item x="109"/>
        <item x="80"/>
        <item x="10"/>
        <item x="100"/>
        <item x="66"/>
        <item x="184"/>
        <item x="85"/>
        <item x="123"/>
        <item x="146"/>
        <item x="78"/>
        <item x="2"/>
        <item x="152"/>
        <item x="83"/>
        <item x="71"/>
        <item x="72"/>
        <item x="158"/>
        <item x="193"/>
      </items>
      <extLst>
        <ext xmlns:x14="http://schemas.microsoft.com/office/spreadsheetml/2009/9/main" uri="{2946ED86-A175-432a-8AC1-64E0C546D7DE}">
          <x14:pivotField fillDownLabels="1"/>
        </ext>
      </extLst>
    </pivotField>
    <pivotField axis="axisRow" compact="0" outline="0" showAll="0" defaultSubtotal="0">
      <items count="194">
        <item x="25"/>
        <item x="18"/>
        <item x="144"/>
        <item x="105"/>
        <item x="79"/>
        <item x="114"/>
        <item x="125"/>
        <item x="99"/>
        <item x="14"/>
        <item x="147"/>
        <item x="134"/>
        <item x="186"/>
        <item x="149"/>
        <item x="0"/>
        <item x="60"/>
        <item x="92"/>
        <item x="23"/>
        <item x="179"/>
        <item x="124"/>
        <item x="48"/>
        <item x="4"/>
        <item x="17"/>
        <item x="180"/>
        <item x="29"/>
        <item x="106"/>
        <item x="43"/>
        <item x="64"/>
        <item x="181"/>
        <item x="122"/>
        <item x="188"/>
        <item x="39"/>
        <item x="151"/>
        <item x="13"/>
        <item x="63"/>
        <item x="187"/>
        <item x="148"/>
        <item x="160"/>
        <item x="126"/>
        <item x="81"/>
        <item x="170"/>
        <item x="87"/>
        <item x="128"/>
        <item x="20"/>
        <item x="118"/>
        <item x="153"/>
        <item x="101"/>
        <item x="93"/>
        <item x="163"/>
        <item x="54"/>
        <item x="112"/>
        <item x="172"/>
        <item x="7"/>
        <item x="95"/>
        <item x="16"/>
        <item x="110"/>
        <item x="75"/>
        <item x="115"/>
        <item x="38"/>
        <item x="44"/>
        <item x="183"/>
        <item x="61"/>
        <item x="116"/>
        <item x="35"/>
        <item x="59"/>
        <item x="143"/>
        <item x="11"/>
        <item x="56"/>
        <item x="108"/>
        <item x="58"/>
        <item x="182"/>
        <item x="156"/>
        <item x="137"/>
        <item x="24"/>
        <item x="32"/>
        <item x="36"/>
        <item x="159"/>
        <item x="190"/>
        <item x="49"/>
        <item x="111"/>
        <item x="174"/>
        <item x="89"/>
        <item x="177"/>
        <item x="62"/>
        <item x="88"/>
        <item x="90"/>
        <item x="27"/>
        <item x="55"/>
        <item x="178"/>
        <item x="47"/>
        <item x="103"/>
        <item x="53"/>
        <item x="9"/>
        <item x="161"/>
        <item x="65"/>
        <item x="21"/>
        <item x="33"/>
        <item x="76"/>
        <item x="28"/>
        <item x="40"/>
        <item x="67"/>
        <item x="37"/>
        <item x="46"/>
        <item x="70"/>
        <item x="169"/>
        <item x="104"/>
        <item x="96"/>
        <item x="162"/>
        <item x="22"/>
        <item x="5"/>
        <item x="154"/>
        <item x="30"/>
        <item x="97"/>
        <item x="139"/>
        <item x="120"/>
        <item x="166"/>
        <item x="171"/>
        <item x="91"/>
        <item x="123"/>
        <item x="131"/>
        <item x="185"/>
        <item x="107"/>
        <item x="45"/>
        <item x="129"/>
        <item x="130"/>
        <item x="173"/>
        <item x="50"/>
        <item x="51"/>
        <item x="68"/>
        <item x="167"/>
        <item x="84"/>
        <item x="1"/>
        <item x="150"/>
        <item x="12"/>
        <item x="117"/>
        <item x="42"/>
        <item x="141"/>
        <item x="3"/>
        <item x="142"/>
        <item x="8"/>
        <item x="119"/>
        <item x="31"/>
        <item x="94"/>
        <item x="175"/>
        <item x="121"/>
        <item x="133"/>
        <item x="77"/>
        <item x="34"/>
        <item x="155"/>
        <item x="191"/>
        <item x="189"/>
        <item x="41"/>
        <item x="74"/>
        <item x="102"/>
        <item x="73"/>
        <item x="145"/>
        <item x="15"/>
        <item x="140"/>
        <item x="82"/>
        <item x="192"/>
        <item x="86"/>
        <item x="132"/>
        <item x="164"/>
        <item x="69"/>
        <item x="165"/>
        <item x="19"/>
        <item x="136"/>
        <item x="176"/>
        <item x="6"/>
        <item x="98"/>
        <item x="127"/>
        <item x="52"/>
        <item x="168"/>
        <item x="113"/>
        <item x="138"/>
        <item x="57"/>
        <item x="157"/>
        <item x="26"/>
        <item x="135"/>
        <item x="109"/>
        <item x="80"/>
        <item x="66"/>
        <item x="10"/>
        <item x="100"/>
        <item x="184"/>
        <item x="85"/>
        <item x="146"/>
        <item x="78"/>
        <item x="2"/>
        <item x="152"/>
        <item x="83"/>
        <item x="71"/>
        <item x="72"/>
        <item x="158"/>
        <item x="19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6">
        <item x="4"/>
        <item x="3"/>
        <item x="2"/>
        <item x="1"/>
        <item x="0"/>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dataField="1" compact="0" outline="0" multipleItemSelectionAllowed="1" showAll="0" defaultSubtotal="0">
      <items count="42">
        <item h="1" x="40"/>
        <item h="1" x="1"/>
        <item h="1" x="2"/>
        <item h="1" x="35"/>
        <item h="1" x="13"/>
        <item h="1" x="12"/>
        <item h="1" x="6"/>
        <item h="1" x="17"/>
        <item h="1" x="9"/>
        <item h="1" x="20"/>
        <item h="1" x="15"/>
        <item h="1" x="14"/>
        <item h="1" x="37"/>
        <item h="1" x="39"/>
        <item h="1" x="21"/>
        <item h="1" x="32"/>
        <item h="1" x="25"/>
        <item h="1" x="3"/>
        <item h="1" x="16"/>
        <item h="1" x="27"/>
        <item h="1" x="26"/>
        <item h="1" x="10"/>
        <item h="1" x="11"/>
        <item h="1" x="30"/>
        <item h="1" x="28"/>
        <item h="1" x="8"/>
        <item h="1" x="4"/>
        <item h="1" x="38"/>
        <item h="1" x="22"/>
        <item h="1" x="7"/>
        <item h="1" x="41"/>
        <item h="1" x="33"/>
        <item h="1" x="5"/>
        <item h="1" x="19"/>
        <item h="1" x="23"/>
        <item h="1" x="24"/>
        <item h="1" x="36"/>
        <item h="1" x="18"/>
        <item h="1" x="29"/>
        <item h="1" x="31"/>
        <item h="1" x="3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dataField="1" compact="0" outline="0" multipleItemSelectionAllowed="1" showAll="0" defaultSubtotal="0">
      <items count="52">
        <item h="1" x="50"/>
        <item h="1" x="1"/>
        <item h="1" x="2"/>
        <item h="1" x="20"/>
        <item h="1" x="19"/>
        <item h="1" x="3"/>
        <item h="1" x="17"/>
        <item h="1" x="10"/>
        <item h="1" x="4"/>
        <item h="1" x="6"/>
        <item h="1" x="14"/>
        <item h="1" x="18"/>
        <item h="1" x="21"/>
        <item h="1" x="5"/>
        <item h="1" x="26"/>
        <item h="1" x="39"/>
        <item h="1" x="43"/>
        <item h="1" x="7"/>
        <item h="1" x="48"/>
        <item h="1" x="37"/>
        <item h="1" x="24"/>
        <item h="1" x="41"/>
        <item h="1" x="33"/>
        <item h="1" x="23"/>
        <item h="1" x="22"/>
        <item h="1" x="34"/>
        <item h="1" x="47"/>
        <item h="1" x="9"/>
        <item h="1" x="16"/>
        <item h="1" x="32"/>
        <item h="1" x="15"/>
        <item h="1" x="40"/>
        <item h="1" x="12"/>
        <item h="1" x="35"/>
        <item h="1" x="11"/>
        <item h="1" x="27"/>
        <item h="1" x="49"/>
        <item h="1" x="8"/>
        <item h="1" x="13"/>
        <item h="1" x="51"/>
        <item h="1" x="28"/>
        <item h="1" x="30"/>
        <item h="1" x="25"/>
        <item h="1" x="29"/>
        <item h="1" x="31"/>
        <item h="1" x="46"/>
        <item h="1" x="36"/>
        <item h="1" x="42"/>
        <item h="1" x="44"/>
        <item h="1" x="45"/>
        <item h="1" x="38"/>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dataField="1" compact="0" outline="0" multipleItemSelectionAllowed="1" showAll="0" defaultSubtotal="0">
      <items count="70">
        <item h="1" x="68"/>
        <item h="1" x="1"/>
        <item h="1" x="39"/>
        <item h="1" x="10"/>
        <item h="1" x="2"/>
        <item h="1" x="15"/>
        <item h="1" x="3"/>
        <item h="1" x="49"/>
        <item h="1" x="25"/>
        <item h="1" x="27"/>
        <item h="1" x="14"/>
        <item h="1" x="6"/>
        <item h="1" x="21"/>
        <item h="1" x="60"/>
        <item h="1" x="29"/>
        <item h="1" x="5"/>
        <item h="1" x="8"/>
        <item h="1" x="50"/>
        <item h="1" x="7"/>
        <item h="1" x="42"/>
        <item h="1" x="56"/>
        <item h="1" x="18"/>
        <item h="1" x="33"/>
        <item h="1" x="26"/>
        <item h="1" x="43"/>
        <item h="1" x="46"/>
        <item h="1" x="31"/>
        <item h="1" x="22"/>
        <item h="1" x="63"/>
        <item h="1" x="4"/>
        <item h="1" x="67"/>
        <item h="1" x="30"/>
        <item h="1" x="45"/>
        <item h="1" x="11"/>
        <item h="1" x="44"/>
        <item h="1" x="53"/>
        <item h="1" x="20"/>
        <item h="1" x="65"/>
        <item h="1" x="28"/>
        <item h="1" x="62"/>
        <item h="1" x="52"/>
        <item h="1" x="9"/>
        <item h="1" x="12"/>
        <item h="1" x="16"/>
        <item h="1" x="48"/>
        <item h="1" x="47"/>
        <item h="1" x="34"/>
        <item h="1" x="17"/>
        <item h="1" x="40"/>
        <item h="1" x="66"/>
        <item h="1" x="19"/>
        <item h="1" x="13"/>
        <item h="1" x="64"/>
        <item h="1" x="32"/>
        <item h="1" x="23"/>
        <item h="1" x="35"/>
        <item h="1" x="69"/>
        <item h="1" x="24"/>
        <item h="1" x="38"/>
        <item h="1" x="37"/>
        <item h="1" x="41"/>
        <item h="1" x="36"/>
        <item h="1" x="51"/>
        <item h="1" x="61"/>
        <item h="1" x="54"/>
        <item h="1" x="55"/>
        <item h="1" x="59"/>
        <item h="1" x="57"/>
        <item h="1" x="58"/>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dataField="1" compact="0" outline="0" multipleItemSelectionAllowed="1" showAll="0" defaultSubtotal="0">
      <items count="71">
        <item h="1" x="69"/>
        <item h="1" x="1"/>
        <item h="1" x="2"/>
        <item h="1" x="16"/>
        <item h="1" x="3"/>
        <item h="1" x="4"/>
        <item h="1" x="46"/>
        <item h="1" x="45"/>
        <item h="1" x="29"/>
        <item h="1" x="30"/>
        <item h="1" x="63"/>
        <item h="1" x="22"/>
        <item h="1" x="32"/>
        <item h="1" x="7"/>
        <item h="1" x="10"/>
        <item h="1" x="26"/>
        <item h="1" x="5"/>
        <item h="1" x="34"/>
        <item h="1" x="18"/>
        <item h="1" x="25"/>
        <item h="1" x="6"/>
        <item h="1" x="44"/>
        <item h="1" x="9"/>
        <item h="1" x="36"/>
        <item h="1" x="43"/>
        <item h="1" x="27"/>
        <item h="1" x="28"/>
        <item h="1" x="33"/>
        <item h="1" x="23"/>
        <item h="1" x="12"/>
        <item h="1" x="35"/>
        <item h="1" x="8"/>
        <item h="1" x="50"/>
        <item h="1" x="67"/>
        <item h="1" x="65"/>
        <item h="1" x="15"/>
        <item h="1" x="31"/>
        <item h="1" x="13"/>
        <item h="1" x="11"/>
        <item h="1" x="19"/>
        <item h="1" x="53"/>
        <item h="1" x="52"/>
        <item h="1" x="20"/>
        <item h="1" x="47"/>
        <item h="1" x="51"/>
        <item h="1" x="17"/>
        <item h="1" x="68"/>
        <item h="1" x="38"/>
        <item h="1" x="54"/>
        <item h="1" x="14"/>
        <item h="1" x="21"/>
        <item h="1" x="66"/>
        <item h="1" x="24"/>
        <item h="1" x="37"/>
        <item h="1" x="49"/>
        <item h="1" x="70"/>
        <item h="1" x="42"/>
        <item h="1" x="56"/>
        <item h="1" x="48"/>
        <item h="1" x="39"/>
        <item h="1" x="40"/>
        <item h="1" x="55"/>
        <item h="1" x="64"/>
        <item h="1" x="41"/>
        <item h="1" x="58"/>
        <item h="1" x="57"/>
        <item h="1" x="62"/>
        <item h="1" x="59"/>
        <item h="1" x="60"/>
        <item h="1" x="6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dataField="1" compact="0" outline="0" multipleItemSelectionAllowed="1" showAll="0" defaultSubtotal="0">
      <items count="80">
        <item h="1" x="78"/>
        <item h="1" x="1"/>
        <item h="1" x="56"/>
        <item h="1" x="49"/>
        <item h="1" x="3"/>
        <item h="1" x="2"/>
        <item h="1" x="4"/>
        <item h="1" x="14"/>
        <item h="1" x="8"/>
        <item h="1" x="17"/>
        <item h="1" x="70"/>
        <item h="1" x="24"/>
        <item h="1" x="29"/>
        <item h="1" x="7"/>
        <item h="1" x="59"/>
        <item h="1" x="5"/>
        <item h="1" x="9"/>
        <item h="1" x="19"/>
        <item h="1" x="28"/>
        <item h="1" x="34"/>
        <item h="1" x="27"/>
        <item h="1" x="32"/>
        <item h="1" x="66"/>
        <item h="1" x="31"/>
        <item h="1" x="44"/>
        <item h="1" x="33"/>
        <item h="1" x="10"/>
        <item h="1" x="76"/>
        <item h="1" x="73"/>
        <item h="1" x="6"/>
        <item h="1" x="50"/>
        <item h="1" x="36"/>
        <item h="1" x="43"/>
        <item h="1" x="13"/>
        <item h="1" x="35"/>
        <item h="1" x="46"/>
        <item h="1" x="52"/>
        <item h="1" x="74"/>
        <item h="1" x="58"/>
        <item h="1" x="30"/>
        <item h="1" x="11"/>
        <item h="1" x="12"/>
        <item h="1" x="68"/>
        <item h="1" x="54"/>
        <item h="1" x="22"/>
        <item h="1" x="72"/>
        <item h="1" x="38"/>
        <item h="1" x="20"/>
        <item h="1" x="21"/>
        <item h="1" x="55"/>
        <item h="1" x="53"/>
        <item h="1" x="77"/>
        <item h="1" x="16"/>
        <item h="1" x="47"/>
        <item h="1" x="60"/>
        <item h="1" x="15"/>
        <item h="1" x="18"/>
        <item h="1" x="25"/>
        <item h="1" x="45"/>
        <item h="1" x="23"/>
        <item h="1" x="26"/>
        <item h="1" x="75"/>
        <item h="1" x="57"/>
        <item h="1" x="37"/>
        <item h="1" x="51"/>
        <item h="1" x="79"/>
        <item h="1" x="39"/>
        <item h="1" x="42"/>
        <item h="1" x="62"/>
        <item h="1" x="48"/>
        <item h="1" x="40"/>
        <item h="1" x="41"/>
        <item h="1" x="61"/>
        <item h="1" x="71"/>
        <item h="1" x="65"/>
        <item h="1" x="63"/>
        <item h="1" x="64"/>
        <item h="1" x="67"/>
        <item h="1" x="69"/>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dataField="1" compact="0" outline="0" multipleItemSelectionAllowed="1" showAll="0" defaultSubtotal="0">
      <items count="80">
        <item h="1" x="79"/>
        <item h="1" x="1"/>
        <item h="1" x="7"/>
        <item h="1" x="43"/>
        <item h="1" x="3"/>
        <item h="1" x="57"/>
        <item h="1" x="2"/>
        <item h="1" x="13"/>
        <item h="1" x="67"/>
        <item h="1" x="55"/>
        <item h="1" x="15"/>
        <item h="1" x="21"/>
        <item h="1" x="22"/>
        <item h="1" x="6"/>
        <item h="1" x="30"/>
        <item h="1" x="70"/>
        <item h="1" x="4"/>
        <item h="1" x="17"/>
        <item h="1" x="5"/>
        <item h="1" x="25"/>
        <item h="1" x="23"/>
        <item h="1" x="40"/>
        <item h="1" x="27"/>
        <item h="1" x="29"/>
        <item h="1" x="73"/>
        <item h="1" x="10"/>
        <item h="1" x="64"/>
        <item h="1" x="26"/>
        <item h="1" x="31"/>
        <item h="1" x="39"/>
        <item h="1" x="51"/>
        <item h="1" x="32"/>
        <item h="1" x="48"/>
        <item h="1" x="76"/>
        <item h="1" x="8"/>
        <item h="1" x="24"/>
        <item h="1" x="9"/>
        <item h="1" x="50"/>
        <item h="1" x="16"/>
        <item h="1" x="28"/>
        <item h="1" x="49"/>
        <item h="1" x="72"/>
        <item h="1" x="52"/>
        <item h="1" x="78"/>
        <item h="1" x="12"/>
        <item h="1" x="11"/>
        <item h="1" x="56"/>
        <item h="1" x="14"/>
        <item h="1" x="42"/>
        <item h="1" x="18"/>
        <item h="1" x="54"/>
        <item h="1" x="41"/>
        <item h="1" x="77"/>
        <item h="1" x="34"/>
        <item h="1" x="45"/>
        <item h="1" x="19"/>
        <item h="1" x="20"/>
        <item h="1" x="74"/>
        <item h="1" x="65"/>
        <item h="1" x="53"/>
        <item h="1" x="47"/>
        <item h="1" x="46"/>
        <item h="1" x="35"/>
        <item h="1" x="38"/>
        <item h="1" x="33"/>
        <item h="1" x="36"/>
        <item h="1" x="59"/>
        <item h="1" x="44"/>
        <item h="1" x="37"/>
        <item h="1" x="58"/>
        <item h="1" x="68"/>
        <item h="1" x="69"/>
        <item h="1" x="71"/>
        <item h="1" x="61"/>
        <item h="1" x="62"/>
        <item h="1" x="60"/>
        <item h="1" x="63"/>
        <item h="1" x="75"/>
        <item h="1" x="66"/>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dataField="1" compact="0" outline="0" multipleItemSelectionAllowed="1" showAll="0" defaultSubtotal="0">
      <items count="85">
        <item h="1" x="84"/>
        <item h="1" x="1"/>
        <item h="1" x="25"/>
        <item h="1" x="41"/>
        <item h="1" x="53"/>
        <item h="1" x="3"/>
        <item h="1" x="8"/>
        <item h="1" x="57"/>
        <item h="1" x="2"/>
        <item h="1" x="4"/>
        <item h="1" x="13"/>
        <item h="1" x="7"/>
        <item h="1" x="15"/>
        <item h="1" x="18"/>
        <item h="1" x="74"/>
        <item h="1" x="20"/>
        <item h="1" x="70"/>
        <item h="1" x="19"/>
        <item h="1" x="6"/>
        <item h="1" x="5"/>
        <item h="1" x="17"/>
        <item h="1" x="23"/>
        <item h="1" x="29"/>
        <item h="1" x="75"/>
        <item h="1" x="28"/>
        <item h="1" x="26"/>
        <item h="1" x="37"/>
        <item h="1" x="71"/>
        <item h="1" x="51"/>
        <item h="1" x="79"/>
        <item h="1" x="76"/>
        <item h="1" x="48"/>
        <item h="1" x="10"/>
        <item h="1" x="80"/>
        <item h="1" x="36"/>
        <item h="1" x="21"/>
        <item h="1" x="24"/>
        <item h="1" x="22"/>
        <item h="1" x="9"/>
        <item h="1" x="67"/>
        <item h="1" x="30"/>
        <item h="1" x="39"/>
        <item h="1" x="16"/>
        <item h="1" x="73"/>
        <item h="1" x="83"/>
        <item h="1" x="49"/>
        <item h="1" x="52"/>
        <item h="1" x="11"/>
        <item h="1" x="56"/>
        <item h="1" x="12"/>
        <item h="1" x="82"/>
        <item h="1" x="40"/>
        <item h="1" x="55"/>
        <item h="1" x="14"/>
        <item h="1" x="32"/>
        <item h="1" x="43"/>
        <item h="1" x="44"/>
        <item h="1" x="81"/>
        <item h="1" x="38"/>
        <item h="1" x="77"/>
        <item h="1" x="65"/>
        <item h="1" x="46"/>
        <item h="1" x="50"/>
        <item h="1" x="27"/>
        <item h="1" x="33"/>
        <item h="1" x="45"/>
        <item h="1" x="35"/>
        <item h="1" x="31"/>
        <item h="1" x="47"/>
        <item h="1" x="34"/>
        <item h="1" x="60"/>
        <item h="1" x="54"/>
        <item h="1" x="59"/>
        <item h="1" x="42"/>
        <item h="1" x="58"/>
        <item h="1" x="68"/>
        <item h="1" x="72"/>
        <item h="1" x="69"/>
        <item h="1" x="62"/>
        <item h="1" x="61"/>
        <item h="1" x="64"/>
        <item h="1" x="63"/>
        <item h="1" x="78"/>
        <item h="1" x="66"/>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dataField="1" compact="0" outline="0" multipleItemSelectionAllowed="1" showAll="0" defaultSubtotal="0">
      <items count="76">
        <item h="1" x="75"/>
        <item h="1" x="1"/>
        <item h="1" x="4"/>
        <item h="1" x="45"/>
        <item h="1" x="43"/>
        <item h="1" x="66"/>
        <item h="1" x="2"/>
        <item h="1" x="48"/>
        <item h="1" x="10"/>
        <item h="1" x="12"/>
        <item h="1" x="15"/>
        <item h="1" x="6"/>
        <item h="1" x="7"/>
        <item h="1" x="16"/>
        <item h="1" x="5"/>
        <item h="1" x="20"/>
        <item h="1" x="14"/>
        <item h="1" x="3"/>
        <item h="1" x="24"/>
        <item h="1" x="65"/>
        <item h="1" x="23"/>
        <item h="1" x="21"/>
        <item h="1" x="56"/>
        <item h="1" x="62"/>
        <item h="1" x="70"/>
        <item h="1" x="71"/>
        <item h="1" x="9"/>
        <item h="1" x="30"/>
        <item h="1" x="67"/>
        <item h="1" x="17"/>
        <item h="1" x="18"/>
        <item h="1" x="8"/>
        <item h="1" x="59"/>
        <item h="1" x="33"/>
        <item h="1" x="13"/>
        <item h="1" x="25"/>
        <item h="1" x="64"/>
        <item h="1" x="74"/>
        <item h="1" x="47"/>
        <item h="1" x="73"/>
        <item h="1" x="46"/>
        <item h="1" x="19"/>
        <item h="1" x="34"/>
        <item h="1" x="37"/>
        <item h="1" x="11"/>
        <item h="1" x="35"/>
        <item h="1" x="72"/>
        <item h="1" x="57"/>
        <item h="1" x="32"/>
        <item h="1" x="27"/>
        <item h="1" x="38"/>
        <item h="1" x="22"/>
        <item h="1" x="39"/>
        <item h="1" x="26"/>
        <item h="1" x="29"/>
        <item h="1" x="42"/>
        <item h="1" x="40"/>
        <item h="1" x="31"/>
        <item h="1" x="51"/>
        <item h="1" x="28"/>
        <item h="1" x="68"/>
        <item h="1" x="44"/>
        <item h="1" x="50"/>
        <item h="1" x="41"/>
        <item h="1" x="36"/>
        <item h="1" x="49"/>
        <item h="1" x="60"/>
        <item h="1" x="63"/>
        <item h="1" x="61"/>
        <item h="1" x="53"/>
        <item h="1" x="52"/>
        <item h="1" x="55"/>
        <item h="1" x="54"/>
        <item h="1" x="69"/>
        <item h="1" x="58"/>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dataField="1" compact="0" outline="0" multipleItemSelectionAllowed="1" showAll="0" defaultSubtotal="0">
      <items count="76">
        <item h="1" x="74"/>
        <item h="1" x="1"/>
        <item h="1" x="4"/>
        <item h="1" x="43"/>
        <item h="1" x="55"/>
        <item h="1" x="65"/>
        <item h="1" x="3"/>
        <item h="1" x="2"/>
        <item h="1" x="9"/>
        <item h="1" x="75"/>
        <item h="1" x="18"/>
        <item h="1" x="13"/>
        <item h="1" x="10"/>
        <item h="1" x="6"/>
        <item h="1" x="59"/>
        <item h="1" x="41"/>
        <item h="1" x="5"/>
        <item h="1" x="7"/>
        <item h="1" x="16"/>
        <item h="1" x="14"/>
        <item h="1" x="12"/>
        <item h="1" x="22"/>
        <item h="1" x="53"/>
        <item h="1" x="64"/>
        <item h="1" x="60"/>
        <item h="1" x="20"/>
        <item h="1" x="70"/>
        <item h="1" x="40"/>
        <item h="1" x="66"/>
        <item h="1" x="69"/>
        <item h="1" x="17"/>
        <item h="1" x="15"/>
        <item h="1" x="8"/>
        <item h="1" x="61"/>
        <item h="1" x="29"/>
        <item h="1" x="11"/>
        <item h="1" x="31"/>
        <item h="1" x="24"/>
        <item h="1" x="73"/>
        <item h="1" x="23"/>
        <item h="1" x="72"/>
        <item h="1" x="44"/>
        <item h="1" x="33"/>
        <item h="1" x="32"/>
        <item h="1" x="45"/>
        <item h="1" x="71"/>
        <item h="1" x="34"/>
        <item h="1" x="54"/>
        <item h="1" x="19"/>
        <item h="1" x="26"/>
        <item h="1" x="21"/>
        <item h="1" x="35"/>
        <item h="1" x="28"/>
        <item h="1" x="25"/>
        <item h="1" x="39"/>
        <item h="1" x="38"/>
        <item h="1" x="36"/>
        <item h="1" x="30"/>
        <item h="1" x="56"/>
        <item h="1" x="63"/>
        <item h="1" x="49"/>
        <item h="1" x="67"/>
        <item h="1" x="27"/>
        <item h="1" x="48"/>
        <item h="1" x="37"/>
        <item h="1" x="46"/>
        <item h="1" x="42"/>
        <item h="1" x="57"/>
        <item h="1" x="47"/>
        <item h="1" x="62"/>
        <item h="1" x="58"/>
        <item h="1" x="51"/>
        <item h="1" x="50"/>
        <item h="1" x="52"/>
        <item h="1" x="68"/>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dataField="1" compact="0" outline="0" multipleItemSelectionAllowed="1" showAll="0" defaultSubtotal="0">
      <items count="76">
        <item h="1" x="1"/>
        <item h="1" x="3"/>
        <item h="1" x="22"/>
        <item h="1" x="20"/>
        <item h="1" x="65"/>
        <item h="1" x="2"/>
        <item h="1" x="74"/>
        <item h="1" x="41"/>
        <item h="1" x="10"/>
        <item h="1" x="17"/>
        <item h="1" x="5"/>
        <item h="1" x="75"/>
        <item h="1" x="9"/>
        <item h="1" x="39"/>
        <item h="1" x="11"/>
        <item h="1" x="6"/>
        <item h="1" x="12"/>
        <item h="1" x="53"/>
        <item h="1" x="14"/>
        <item h="1" x="54"/>
        <item h="1" x="13"/>
        <item h="1" x="7"/>
        <item h="1" x="64"/>
        <item h="1" x="21"/>
        <item h="1" x="58"/>
        <item h="1" x="4"/>
        <item h="1" x="63"/>
        <item h="1" x="51"/>
        <item h="1" x="70"/>
        <item h="1" x="18"/>
        <item h="1" x="19"/>
        <item h="1" x="59"/>
        <item h="1" x="66"/>
        <item h="1" x="16"/>
        <item h="1" x="15"/>
        <item h="1" x="60"/>
        <item h="1" x="8"/>
        <item h="1" x="27"/>
        <item h="1" x="69"/>
        <item h="1" x="30"/>
        <item h="1" x="73"/>
        <item h="1" x="23"/>
        <item h="1" x="72"/>
        <item h="1" x="42"/>
        <item h="1" x="31"/>
        <item h="1" x="33"/>
        <item h="1" x="32"/>
        <item h="1" x="48"/>
        <item h="1" x="71"/>
        <item h="1" x="52"/>
        <item h="1" x="26"/>
        <item h="1" x="38"/>
        <item h="1" x="29"/>
        <item h="1" x="34"/>
        <item h="1" x="37"/>
        <item h="1" x="28"/>
        <item h="1" x="35"/>
        <item h="1" x="24"/>
        <item h="1" x="55"/>
        <item h="1" x="43"/>
        <item h="1" x="47"/>
        <item h="1" x="62"/>
        <item h="1" x="25"/>
        <item h="1" x="46"/>
        <item h="1" x="36"/>
        <item h="1" x="44"/>
        <item h="1" x="56"/>
        <item h="1" x="45"/>
        <item h="1" x="61"/>
        <item h="1" x="40"/>
        <item h="1" x="57"/>
        <item h="1" x="67"/>
        <item h="1" x="49"/>
        <item h="1" x="50"/>
        <item h="1" x="68"/>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3">
        <item x="0"/>
        <item x="2"/>
        <item x="1"/>
      </items>
      <extLst>
        <ext xmlns:x14="http://schemas.microsoft.com/office/spreadsheetml/2009/9/main" uri="{2946ED86-A175-432a-8AC1-64E0C546D7DE}">
          <x14:pivotField fillDownLabels="1"/>
        </ext>
      </extLst>
    </pivotField>
  </pivotFields>
  <rowFields count="2">
    <field x="0"/>
    <field x="1"/>
  </rowFields>
  <rowItems count="5">
    <i>
      <x v="32"/>
      <x v="30"/>
    </i>
    <i>
      <x v="34"/>
      <x v="32"/>
    </i>
    <i>
      <x v="78"/>
      <x v="73"/>
    </i>
    <i>
      <x v="138"/>
      <x v="140"/>
    </i>
    <i t="grand">
      <x/>
    </i>
  </rowItems>
  <colFields count="1">
    <field x="-2"/>
  </colFields>
  <colItems count="10">
    <i>
      <x/>
    </i>
    <i i="1">
      <x v="1"/>
    </i>
    <i i="2">
      <x v="2"/>
    </i>
    <i i="3">
      <x v="3"/>
    </i>
    <i i="4">
      <x v="4"/>
    </i>
    <i i="5">
      <x v="5"/>
    </i>
    <i i="6">
      <x v="6"/>
    </i>
    <i i="7">
      <x v="7"/>
    </i>
    <i i="8">
      <x v="8"/>
    </i>
    <i i="9">
      <x v="9"/>
    </i>
  </colItems>
  <pageFields count="12">
    <pageField fld="44" item="2" hier="-1"/>
    <pageField fld="4" item="4" hier="-1"/>
    <pageField fld="14" hier="-1"/>
    <pageField fld="17" hier="-1"/>
    <pageField fld="20" hier="-1"/>
    <pageField fld="23" hier="-1"/>
    <pageField fld="26" hier="-1"/>
    <pageField fld="29" hier="-1"/>
    <pageField fld="32" hier="-1"/>
    <pageField fld="35" hier="-1"/>
    <pageField fld="38" hier="-1"/>
    <pageField fld="41" hier="-1"/>
  </pageFields>
  <dataFields count="10">
    <dataField name="Count of Days to 10% of Issue Price" fld="14" subtotal="countNums" baseField="1" baseItem="0"/>
    <dataField name="Count of Days to 20% of Issue Price" fld="17" subtotal="count" baseField="1" baseItem="0"/>
    <dataField name="Count of Days to 30% of Issue Price" fld="20" subtotal="count" baseField="1" baseItem="0"/>
    <dataField name="Count of Days to 40% of Issue Price" fld="23" subtotal="count" baseField="1" baseItem="0"/>
    <dataField name="Count of Days to 50% of Issue Price" fld="26" subtotal="count" baseField="1" baseItem="0"/>
    <dataField name="Count of Days to 60% of Issue Price" fld="29" subtotal="count" baseField="1" baseItem="0"/>
    <dataField name="Count of Days to 70% of Issue Price" fld="32" subtotal="count" baseField="1" baseItem="0"/>
    <dataField name="Count of Days to 80% of Issue Price" fld="35" subtotal="count" baseField="1" baseItem="0"/>
    <dataField name="Count of Days to 90% of Issue Price" fld="38" subtotal="count" baseField="1" baseItem="0"/>
    <dataField name="Count of Days to 100% of Issue Price" fld="41"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C394CE-65F4-49FB-BF91-27D4E8F7D197}"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5" firstHeaderRow="1" firstDataRow="1" firstDataCol="1" rowPageCount="1" colPageCount="1"/>
  <pivotFields count="45">
    <pivotField showAll="0"/>
    <pivotField dataField="1" showAll="0"/>
    <pivotField showAll="0"/>
    <pivotField showAll="0"/>
    <pivotField axis="axisRow" showAll="0">
      <items count="7">
        <item h="1" x="4"/>
        <item h="1" x="3"/>
        <item h="1" x="2"/>
        <item h="1" x="1"/>
        <item x="0"/>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0"/>
        <item x="2"/>
        <item x="1"/>
        <item t="default"/>
      </items>
    </pivotField>
  </pivotFields>
  <rowFields count="1">
    <field x="4"/>
  </rowFields>
  <rowItems count="2">
    <i>
      <x v="4"/>
    </i>
    <i t="grand">
      <x/>
    </i>
  </rowItems>
  <colItems count="1">
    <i/>
  </colItems>
  <pageFields count="1">
    <pageField fld="44" item="2" hier="-1"/>
  </pageFields>
  <dataFields count="1">
    <dataField name="Count of Symbo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Listing" xr10:uid="{F005B652-32EE-41C4-8A70-6AE0BFDEC4A5}" sourceName="Year of Listing">
  <pivotTables>
    <pivotTable tabId="4" name="PivotTable1"/>
    <pivotTable tabId="4" name="PivotTable3"/>
  </pivotTables>
  <data>
    <tabular pivotCacheId="1074381323">
      <items count="6">
        <i x="4"/>
        <i x="3"/>
        <i x="2"/>
        <i x="1"/>
        <i x="0"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Listing" xr10:uid="{29C8F77C-DED8-4DA4-B75B-13D388D0DC34}" cache="Slicer_Year_of_Listing" caption="Year of Listing"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00850-C4E1-4C84-9FC4-E43319845D11}">
  <dimension ref="E1:S19"/>
  <sheetViews>
    <sheetView tabSelected="1" topLeftCell="I1" workbookViewId="0">
      <selection activeCell="O12" sqref="O2:O12"/>
    </sheetView>
  </sheetViews>
  <sheetFormatPr defaultRowHeight="14.4" x14ac:dyDescent="0.3"/>
  <cols>
    <col min="5" max="5" width="12.5546875" bestFit="1" customWidth="1"/>
    <col min="6" max="6" width="15.21875" bestFit="1" customWidth="1"/>
    <col min="8" max="8" width="47" bestFit="1" customWidth="1"/>
    <col min="9" max="9" width="10.6640625" bestFit="1" customWidth="1"/>
    <col min="10" max="18" width="30.88671875" bestFit="1" customWidth="1"/>
    <col min="19" max="19" width="31.88671875" bestFit="1" customWidth="1"/>
  </cols>
  <sheetData>
    <row r="1" spans="5:19" x14ac:dyDescent="0.3">
      <c r="E1" s="2" t="s">
        <v>93</v>
      </c>
      <c r="F1" t="s">
        <v>435</v>
      </c>
      <c r="H1" s="2" t="s">
        <v>93</v>
      </c>
      <c r="I1" t="s">
        <v>435</v>
      </c>
    </row>
    <row r="2" spans="5:19" x14ac:dyDescent="0.3">
      <c r="H2" s="2" t="s">
        <v>0</v>
      </c>
      <c r="I2" s="3">
        <v>2024</v>
      </c>
      <c r="K2" s="6"/>
      <c r="L2" t="s">
        <v>457</v>
      </c>
      <c r="M2">
        <v>4</v>
      </c>
      <c r="N2">
        <v>43</v>
      </c>
      <c r="O2" s="7">
        <f>M2/N2</f>
        <v>9.3023255813953487E-2</v>
      </c>
    </row>
    <row r="3" spans="5:19" x14ac:dyDescent="0.3">
      <c r="E3" s="2" t="s">
        <v>2</v>
      </c>
      <c r="F3" t="s">
        <v>436</v>
      </c>
      <c r="H3" s="2" t="s">
        <v>63</v>
      </c>
      <c r="I3" t="s">
        <v>435</v>
      </c>
      <c r="K3" s="6"/>
      <c r="L3" t="s">
        <v>447</v>
      </c>
      <c r="M3">
        <v>4</v>
      </c>
      <c r="N3">
        <v>43</v>
      </c>
      <c r="O3" s="7">
        <f t="shared" ref="O3:O12" si="0">M3/N3</f>
        <v>9.3023255813953487E-2</v>
      </c>
    </row>
    <row r="4" spans="5:19" x14ac:dyDescent="0.3">
      <c r="E4" s="3">
        <v>2024</v>
      </c>
      <c r="F4" s="5">
        <v>43</v>
      </c>
      <c r="H4" s="2" t="s">
        <v>66</v>
      </c>
      <c r="I4" t="s">
        <v>435</v>
      </c>
      <c r="K4" s="6"/>
      <c r="L4" t="s">
        <v>448</v>
      </c>
      <c r="M4">
        <v>1</v>
      </c>
      <c r="N4">
        <v>43</v>
      </c>
      <c r="O4" s="7">
        <f t="shared" si="0"/>
        <v>2.3255813953488372E-2</v>
      </c>
    </row>
    <row r="5" spans="5:19" x14ac:dyDescent="0.3">
      <c r="E5" s="3" t="s">
        <v>50</v>
      </c>
      <c r="F5" s="5">
        <v>43</v>
      </c>
      <c r="H5" s="2" t="s">
        <v>69</v>
      </c>
      <c r="I5" t="s">
        <v>435</v>
      </c>
      <c r="K5" s="6"/>
      <c r="L5" t="s">
        <v>449</v>
      </c>
      <c r="M5">
        <v>1</v>
      </c>
      <c r="N5">
        <v>43</v>
      </c>
      <c r="O5" s="7">
        <f t="shared" si="0"/>
        <v>2.3255813953488372E-2</v>
      </c>
    </row>
    <row r="6" spans="5:19" x14ac:dyDescent="0.3">
      <c r="H6" s="2" t="s">
        <v>72</v>
      </c>
      <c r="I6" t="s">
        <v>435</v>
      </c>
      <c r="K6" s="6"/>
      <c r="L6" t="s">
        <v>450</v>
      </c>
      <c r="M6">
        <v>4</v>
      </c>
      <c r="N6">
        <v>43</v>
      </c>
      <c r="O6" s="7">
        <f t="shared" si="0"/>
        <v>9.3023255813953487E-2</v>
      </c>
    </row>
    <row r="7" spans="5:19" x14ac:dyDescent="0.3">
      <c r="H7" s="2" t="s">
        <v>75</v>
      </c>
      <c r="I7" t="s">
        <v>435</v>
      </c>
      <c r="K7" s="6"/>
      <c r="L7" t="s">
        <v>451</v>
      </c>
      <c r="M7">
        <v>5</v>
      </c>
      <c r="N7">
        <v>43</v>
      </c>
      <c r="O7" s="7">
        <f t="shared" si="0"/>
        <v>0.11627906976744186</v>
      </c>
    </row>
    <row r="8" spans="5:19" x14ac:dyDescent="0.3">
      <c r="H8" s="2" t="s">
        <v>78</v>
      </c>
      <c r="I8" t="s">
        <v>435</v>
      </c>
      <c r="K8" s="6"/>
      <c r="L8" t="s">
        <v>452</v>
      </c>
      <c r="M8">
        <v>2</v>
      </c>
      <c r="N8">
        <v>43</v>
      </c>
      <c r="O8" s="7">
        <f t="shared" si="0"/>
        <v>4.6511627906976744E-2</v>
      </c>
    </row>
    <row r="9" spans="5:19" x14ac:dyDescent="0.3">
      <c r="H9" s="2" t="s">
        <v>81</v>
      </c>
      <c r="I9" t="s">
        <v>435</v>
      </c>
      <c r="K9" s="6"/>
      <c r="L9" t="s">
        <v>453</v>
      </c>
      <c r="M9">
        <v>6</v>
      </c>
      <c r="N9">
        <v>43</v>
      </c>
      <c r="O9" s="7">
        <f t="shared" si="0"/>
        <v>0.13953488372093023</v>
      </c>
    </row>
    <row r="10" spans="5:19" x14ac:dyDescent="0.3">
      <c r="H10" s="2" t="s">
        <v>84</v>
      </c>
      <c r="I10" t="s">
        <v>435</v>
      </c>
      <c r="K10" s="6"/>
      <c r="L10" t="s">
        <v>454</v>
      </c>
      <c r="M10">
        <v>2</v>
      </c>
      <c r="N10">
        <v>43</v>
      </c>
      <c r="O10" s="7">
        <f t="shared" si="0"/>
        <v>4.6511627906976744E-2</v>
      </c>
    </row>
    <row r="11" spans="5:19" x14ac:dyDescent="0.3">
      <c r="H11" s="2" t="s">
        <v>87</v>
      </c>
      <c r="I11" t="s">
        <v>435</v>
      </c>
      <c r="K11" s="6"/>
      <c r="L11" t="s">
        <v>455</v>
      </c>
      <c r="M11">
        <v>1</v>
      </c>
      <c r="N11">
        <v>43</v>
      </c>
      <c r="O11" s="7">
        <f t="shared" si="0"/>
        <v>2.3255813953488372E-2</v>
      </c>
    </row>
    <row r="12" spans="5:19" x14ac:dyDescent="0.3">
      <c r="H12" s="2" t="s">
        <v>90</v>
      </c>
      <c r="I12" t="s">
        <v>435</v>
      </c>
      <c r="L12" t="s">
        <v>456</v>
      </c>
      <c r="M12">
        <v>13</v>
      </c>
      <c r="N12">
        <v>43</v>
      </c>
      <c r="O12" s="7">
        <f t="shared" si="0"/>
        <v>0.30232558139534882</v>
      </c>
    </row>
    <row r="14" spans="5:19" x14ac:dyDescent="0.3">
      <c r="H14" s="2" t="s">
        <v>51</v>
      </c>
      <c r="I14" s="2" t="s">
        <v>52</v>
      </c>
      <c r="J14" t="s">
        <v>437</v>
      </c>
      <c r="K14" t="s">
        <v>438</v>
      </c>
      <c r="L14" t="s">
        <v>439</v>
      </c>
      <c r="M14" t="s">
        <v>440</v>
      </c>
      <c r="N14" t="s">
        <v>441</v>
      </c>
      <c r="O14" t="s">
        <v>442</v>
      </c>
      <c r="P14" t="s">
        <v>443</v>
      </c>
      <c r="Q14" t="s">
        <v>444</v>
      </c>
      <c r="R14" t="s">
        <v>445</v>
      </c>
      <c r="S14" t="s">
        <v>446</v>
      </c>
    </row>
    <row r="15" spans="5:19" x14ac:dyDescent="0.3">
      <c r="H15" t="s">
        <v>15</v>
      </c>
      <c r="I15" t="s">
        <v>135</v>
      </c>
      <c r="J15" s="5"/>
      <c r="K15" s="5"/>
      <c r="L15" s="5"/>
      <c r="M15" s="5"/>
      <c r="N15" s="5"/>
      <c r="O15" s="5"/>
      <c r="P15" s="5"/>
      <c r="Q15" s="5"/>
      <c r="R15" s="5"/>
      <c r="S15" s="5"/>
    </row>
    <row r="16" spans="5:19" x14ac:dyDescent="0.3">
      <c r="H16" t="s">
        <v>16</v>
      </c>
      <c r="I16" t="s">
        <v>108</v>
      </c>
      <c r="J16" s="5"/>
      <c r="K16" s="5"/>
      <c r="L16" s="5"/>
      <c r="M16" s="5"/>
      <c r="N16" s="5"/>
      <c r="O16" s="5"/>
      <c r="P16" s="5"/>
      <c r="Q16" s="5"/>
      <c r="R16" s="5"/>
      <c r="S16" s="5"/>
    </row>
    <row r="17" spans="8:19" x14ac:dyDescent="0.3">
      <c r="H17" t="s">
        <v>24</v>
      </c>
      <c r="I17" t="s">
        <v>128</v>
      </c>
      <c r="J17" s="5"/>
      <c r="K17" s="5"/>
      <c r="L17" s="5"/>
      <c r="M17" s="5"/>
      <c r="N17" s="5"/>
      <c r="O17" s="5"/>
      <c r="P17" s="5"/>
      <c r="Q17" s="5"/>
      <c r="R17" s="5"/>
      <c r="S17" s="5"/>
    </row>
    <row r="18" spans="8:19" x14ac:dyDescent="0.3">
      <c r="H18" t="s">
        <v>41</v>
      </c>
      <c r="I18" t="s">
        <v>127</v>
      </c>
      <c r="J18" s="5"/>
      <c r="K18" s="5"/>
      <c r="L18" s="5"/>
      <c r="M18" s="5"/>
      <c r="N18" s="5"/>
      <c r="O18" s="5"/>
      <c r="P18" s="5"/>
      <c r="Q18" s="5"/>
      <c r="R18" s="5"/>
      <c r="S18" s="5"/>
    </row>
    <row r="19" spans="8:19" x14ac:dyDescent="0.3">
      <c r="H19" t="s">
        <v>50</v>
      </c>
      <c r="J19" s="5"/>
      <c r="K19" s="5"/>
      <c r="L19" s="5"/>
      <c r="M19" s="5"/>
      <c r="N19" s="5"/>
      <c r="O19" s="5"/>
      <c r="P19" s="5"/>
      <c r="Q19" s="5"/>
      <c r="R19" s="5"/>
      <c r="S19" s="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94"/>
  <sheetViews>
    <sheetView topLeftCell="AQ1" workbookViewId="0">
      <selection activeCell="AS1" sqref="AS1"/>
    </sheetView>
  </sheetViews>
  <sheetFormatPr defaultRowHeight="14.4" x14ac:dyDescent="0.3"/>
  <cols>
    <col min="1" max="1" width="43.77734375" bestFit="1" customWidth="1"/>
    <col min="2" max="2" width="13.109375" bestFit="1" customWidth="1"/>
    <col min="3" max="3" width="15.6640625" bestFit="1" customWidth="1"/>
    <col min="4" max="4" width="19.6640625" bestFit="1" customWidth="1"/>
    <col min="5" max="5" width="17.109375" bestFit="1" customWidth="1"/>
    <col min="6" max="6" width="19.33203125" bestFit="1" customWidth="1"/>
    <col min="7" max="7" width="15.33203125" bestFit="1" customWidth="1"/>
    <col min="8" max="8" width="18.6640625" bestFit="1" customWidth="1"/>
    <col min="9" max="9" width="23.6640625" bestFit="1" customWidth="1"/>
    <col min="10" max="10" width="18.44140625" bestFit="1" customWidth="1"/>
    <col min="11" max="11" width="23.44140625" bestFit="1" customWidth="1"/>
    <col min="12" max="14" width="18.21875" bestFit="1" customWidth="1"/>
    <col min="15" max="15" width="27.33203125" bestFit="1" customWidth="1"/>
    <col min="16" max="16" width="26.109375" bestFit="1" customWidth="1"/>
    <col min="17" max="17" width="30.6640625" bestFit="1" customWidth="1"/>
    <col min="18" max="18" width="27.33203125" bestFit="1" customWidth="1"/>
    <col min="19" max="19" width="26.109375" bestFit="1" customWidth="1"/>
    <col min="20" max="20" width="30.6640625" bestFit="1" customWidth="1"/>
    <col min="21" max="21" width="27.33203125" bestFit="1" customWidth="1"/>
    <col min="22" max="22" width="26.109375" bestFit="1" customWidth="1"/>
    <col min="23" max="23" width="30.6640625" bestFit="1" customWidth="1"/>
    <col min="24" max="24" width="27.33203125" bestFit="1" customWidth="1"/>
    <col min="25" max="25" width="26.109375" bestFit="1" customWidth="1"/>
    <col min="26" max="26" width="30.6640625" bestFit="1" customWidth="1"/>
    <col min="27" max="27" width="27.33203125" bestFit="1" customWidth="1"/>
    <col min="28" max="28" width="26.109375" bestFit="1" customWidth="1"/>
    <col min="29" max="29" width="30.6640625" bestFit="1" customWidth="1"/>
    <col min="30" max="30" width="27.33203125" bestFit="1" customWidth="1"/>
    <col min="31" max="31" width="26.109375" bestFit="1" customWidth="1"/>
    <col min="32" max="32" width="30.6640625" bestFit="1" customWidth="1"/>
    <col min="33" max="33" width="27.33203125" bestFit="1" customWidth="1"/>
    <col min="34" max="34" width="26.109375" bestFit="1" customWidth="1"/>
    <col min="35" max="35" width="30.6640625" bestFit="1" customWidth="1"/>
    <col min="36" max="36" width="27.33203125" bestFit="1" customWidth="1"/>
    <col min="37" max="37" width="26.109375" bestFit="1" customWidth="1"/>
    <col min="38" max="38" width="30.6640625" bestFit="1" customWidth="1"/>
    <col min="39" max="39" width="27.33203125" bestFit="1" customWidth="1"/>
    <col min="40" max="40" width="26.109375" bestFit="1" customWidth="1"/>
    <col min="41" max="41" width="30.6640625" bestFit="1" customWidth="1"/>
    <col min="42" max="42" width="28.33203125" bestFit="1" customWidth="1"/>
    <col min="43" max="43" width="27.109375" bestFit="1" customWidth="1"/>
    <col min="44" max="44" width="31.6640625" bestFit="1" customWidth="1"/>
    <col min="45" max="45" width="23.6640625" bestFit="1" customWidth="1"/>
  </cols>
  <sheetData>
    <row r="1" spans="1:45" x14ac:dyDescent="0.3">
      <c r="A1" s="4" t="s">
        <v>51</v>
      </c>
      <c r="B1" s="4" t="s">
        <v>52</v>
      </c>
      <c r="C1" s="4" t="s">
        <v>53</v>
      </c>
      <c r="D1" s="4" t="s">
        <v>54</v>
      </c>
      <c r="E1" s="4" t="s">
        <v>0</v>
      </c>
      <c r="F1" s="4" t="s">
        <v>1</v>
      </c>
      <c r="G1" s="4" t="s">
        <v>55</v>
      </c>
      <c r="H1" s="4" t="s">
        <v>56</v>
      </c>
      <c r="I1" s="4" t="s">
        <v>57</v>
      </c>
      <c r="J1" s="4" t="s">
        <v>58</v>
      </c>
      <c r="K1" s="4" t="s">
        <v>59</v>
      </c>
      <c r="L1" s="4" t="s">
        <v>60</v>
      </c>
      <c r="M1" s="4" t="s">
        <v>61</v>
      </c>
      <c r="N1" s="4" t="s">
        <v>62</v>
      </c>
      <c r="O1" s="4" t="s">
        <v>63</v>
      </c>
      <c r="P1" s="4" t="s">
        <v>64</v>
      </c>
      <c r="Q1" s="4" t="s">
        <v>65</v>
      </c>
      <c r="R1" s="4" t="s">
        <v>66</v>
      </c>
      <c r="S1" s="4" t="s">
        <v>67</v>
      </c>
      <c r="T1" s="4" t="s">
        <v>68</v>
      </c>
      <c r="U1" s="4" t="s">
        <v>69</v>
      </c>
      <c r="V1" s="4" t="s">
        <v>70</v>
      </c>
      <c r="W1" s="4" t="s">
        <v>71</v>
      </c>
      <c r="X1" s="4" t="s">
        <v>72</v>
      </c>
      <c r="Y1" s="4" t="s">
        <v>73</v>
      </c>
      <c r="Z1" s="4" t="s">
        <v>74</v>
      </c>
      <c r="AA1" s="4" t="s">
        <v>75</v>
      </c>
      <c r="AB1" s="4" t="s">
        <v>76</v>
      </c>
      <c r="AC1" s="4" t="s">
        <v>77</v>
      </c>
      <c r="AD1" s="4" t="s">
        <v>78</v>
      </c>
      <c r="AE1" s="4" t="s">
        <v>79</v>
      </c>
      <c r="AF1" s="4" t="s">
        <v>80</v>
      </c>
      <c r="AG1" s="4" t="s">
        <v>81</v>
      </c>
      <c r="AH1" s="4" t="s">
        <v>82</v>
      </c>
      <c r="AI1" s="4" t="s">
        <v>83</v>
      </c>
      <c r="AJ1" s="4" t="s">
        <v>84</v>
      </c>
      <c r="AK1" s="4" t="s">
        <v>85</v>
      </c>
      <c r="AL1" s="4" t="s">
        <v>86</v>
      </c>
      <c r="AM1" s="4" t="s">
        <v>87</v>
      </c>
      <c r="AN1" s="4" t="s">
        <v>88</v>
      </c>
      <c r="AO1" s="4" t="s">
        <v>89</v>
      </c>
      <c r="AP1" s="4" t="s">
        <v>90</v>
      </c>
      <c r="AQ1" s="4" t="s">
        <v>91</v>
      </c>
      <c r="AR1" s="4" t="s">
        <v>92</v>
      </c>
      <c r="AS1" s="4" t="s">
        <v>93</v>
      </c>
    </row>
    <row r="2" spans="1:45" x14ac:dyDescent="0.3">
      <c r="A2" t="s">
        <v>7</v>
      </c>
      <c r="B2" t="s">
        <v>94</v>
      </c>
      <c r="C2">
        <v>128</v>
      </c>
      <c r="D2" s="1">
        <v>45559</v>
      </c>
      <c r="E2">
        <v>2024</v>
      </c>
      <c r="F2">
        <v>9</v>
      </c>
      <c r="AS2" t="s">
        <v>95</v>
      </c>
    </row>
    <row r="3" spans="1:45" x14ac:dyDescent="0.3">
      <c r="A3" t="s">
        <v>38</v>
      </c>
      <c r="B3" t="s">
        <v>96</v>
      </c>
      <c r="C3">
        <v>263</v>
      </c>
      <c r="D3" s="1">
        <v>45559</v>
      </c>
      <c r="E3">
        <v>2024</v>
      </c>
      <c r="F3">
        <v>9</v>
      </c>
      <c r="AS3" t="s">
        <v>95</v>
      </c>
    </row>
    <row r="4" spans="1:45" x14ac:dyDescent="0.3">
      <c r="A4" t="s">
        <v>49</v>
      </c>
      <c r="B4" t="s">
        <v>97</v>
      </c>
      <c r="C4">
        <v>172</v>
      </c>
      <c r="D4" s="1">
        <v>45559</v>
      </c>
      <c r="E4">
        <v>2024</v>
      </c>
      <c r="F4">
        <v>9</v>
      </c>
      <c r="AS4" t="s">
        <v>95</v>
      </c>
    </row>
    <row r="5" spans="1:45" x14ac:dyDescent="0.3">
      <c r="A5" t="s">
        <v>40</v>
      </c>
      <c r="B5" t="s">
        <v>98</v>
      </c>
      <c r="C5">
        <v>480</v>
      </c>
      <c r="D5" s="1">
        <v>45552</v>
      </c>
      <c r="E5">
        <v>2024</v>
      </c>
      <c r="F5">
        <v>9</v>
      </c>
      <c r="G5">
        <v>830</v>
      </c>
      <c r="H5">
        <v>848</v>
      </c>
      <c r="I5" s="1">
        <v>45552</v>
      </c>
      <c r="J5">
        <v>764.55</v>
      </c>
      <c r="K5" s="1">
        <v>45553</v>
      </c>
      <c r="O5">
        <v>1</v>
      </c>
      <c r="P5" s="1">
        <v>45552</v>
      </c>
      <c r="Q5">
        <v>848</v>
      </c>
      <c r="R5">
        <v>1</v>
      </c>
      <c r="S5" s="1">
        <v>45552</v>
      </c>
      <c r="T5">
        <v>848</v>
      </c>
      <c r="U5">
        <v>1</v>
      </c>
      <c r="V5" s="1">
        <v>45552</v>
      </c>
      <c r="W5">
        <v>848</v>
      </c>
      <c r="X5">
        <v>1</v>
      </c>
      <c r="Y5" s="1">
        <v>45552</v>
      </c>
      <c r="Z5">
        <v>848</v>
      </c>
      <c r="AA5">
        <v>1</v>
      </c>
      <c r="AB5" s="1">
        <v>45552</v>
      </c>
      <c r="AC5">
        <v>848</v>
      </c>
      <c r="AD5">
        <v>1</v>
      </c>
      <c r="AE5" s="1">
        <v>45552</v>
      </c>
      <c r="AF5">
        <v>848</v>
      </c>
      <c r="AG5">
        <v>1</v>
      </c>
      <c r="AH5" s="1">
        <v>45552</v>
      </c>
      <c r="AI5">
        <v>848</v>
      </c>
    </row>
    <row r="6" spans="1:45" x14ac:dyDescent="0.3">
      <c r="A6" t="s">
        <v>10</v>
      </c>
      <c r="B6" t="s">
        <v>99</v>
      </c>
      <c r="C6">
        <v>70</v>
      </c>
      <c r="D6" s="1">
        <v>45551</v>
      </c>
      <c r="E6">
        <v>2024</v>
      </c>
      <c r="F6">
        <v>9</v>
      </c>
      <c r="G6">
        <v>150</v>
      </c>
      <c r="H6">
        <v>188.5</v>
      </c>
      <c r="I6" s="1">
        <v>45553</v>
      </c>
      <c r="J6">
        <v>146</v>
      </c>
      <c r="K6" s="1">
        <v>45551</v>
      </c>
      <c r="O6">
        <v>1</v>
      </c>
      <c r="P6" s="1">
        <v>45551</v>
      </c>
      <c r="Q6">
        <v>165</v>
      </c>
      <c r="R6">
        <v>1</v>
      </c>
      <c r="S6" s="1">
        <v>45551</v>
      </c>
      <c r="T6">
        <v>165</v>
      </c>
      <c r="U6">
        <v>1</v>
      </c>
      <c r="V6" s="1">
        <v>45551</v>
      </c>
      <c r="W6">
        <v>165</v>
      </c>
      <c r="X6">
        <v>1</v>
      </c>
      <c r="Y6" s="1">
        <v>45551</v>
      </c>
      <c r="Z6">
        <v>165</v>
      </c>
      <c r="AA6">
        <v>1</v>
      </c>
      <c r="AB6" s="1">
        <v>45551</v>
      </c>
      <c r="AC6">
        <v>165</v>
      </c>
      <c r="AD6">
        <v>1</v>
      </c>
      <c r="AE6" s="1">
        <v>45551</v>
      </c>
      <c r="AF6">
        <v>165</v>
      </c>
      <c r="AG6">
        <v>1</v>
      </c>
      <c r="AH6" s="1">
        <v>45551</v>
      </c>
      <c r="AI6">
        <v>165</v>
      </c>
      <c r="AJ6">
        <v>1</v>
      </c>
      <c r="AK6" s="1">
        <v>45551</v>
      </c>
      <c r="AL6">
        <v>165</v>
      </c>
      <c r="AM6">
        <v>1</v>
      </c>
      <c r="AN6" s="1">
        <v>45551</v>
      </c>
      <c r="AO6">
        <v>165</v>
      </c>
      <c r="AP6">
        <v>1</v>
      </c>
      <c r="AQ6" s="1">
        <v>45551</v>
      </c>
      <c r="AR6">
        <v>165</v>
      </c>
    </row>
    <row r="7" spans="1:45" x14ac:dyDescent="0.3">
      <c r="A7" t="s">
        <v>34</v>
      </c>
      <c r="B7" t="s">
        <v>100</v>
      </c>
      <c r="C7">
        <v>240</v>
      </c>
      <c r="D7" s="1">
        <v>45551</v>
      </c>
      <c r="E7">
        <v>2024</v>
      </c>
      <c r="F7">
        <v>9</v>
      </c>
      <c r="G7">
        <v>240</v>
      </c>
      <c r="H7">
        <v>270.89</v>
      </c>
      <c r="I7" s="1">
        <v>45551</v>
      </c>
      <c r="J7">
        <v>231.96</v>
      </c>
      <c r="K7" s="1">
        <v>45551</v>
      </c>
      <c r="O7">
        <v>1</v>
      </c>
      <c r="P7" s="1">
        <v>45551</v>
      </c>
      <c r="Q7">
        <v>270.89</v>
      </c>
    </row>
    <row r="8" spans="1:45" x14ac:dyDescent="0.3">
      <c r="A8" t="s">
        <v>9</v>
      </c>
      <c r="B8" t="s">
        <v>101</v>
      </c>
      <c r="C8">
        <v>389</v>
      </c>
      <c r="D8" s="1">
        <v>45541</v>
      </c>
      <c r="E8">
        <v>2024</v>
      </c>
      <c r="F8">
        <v>9</v>
      </c>
      <c r="G8">
        <v>389</v>
      </c>
      <c r="H8">
        <v>431.15</v>
      </c>
      <c r="I8" s="1">
        <v>45541</v>
      </c>
      <c r="J8">
        <v>340.6</v>
      </c>
      <c r="K8" s="1">
        <v>45551</v>
      </c>
      <c r="O8">
        <v>1</v>
      </c>
      <c r="P8" s="1">
        <v>45541</v>
      </c>
      <c r="Q8">
        <v>431.15</v>
      </c>
    </row>
    <row r="9" spans="1:45" x14ac:dyDescent="0.3">
      <c r="A9" t="s">
        <v>18</v>
      </c>
      <c r="B9" t="s">
        <v>102</v>
      </c>
      <c r="C9">
        <v>334</v>
      </c>
      <c r="D9" s="1">
        <v>45539</v>
      </c>
      <c r="E9">
        <v>2024</v>
      </c>
      <c r="F9">
        <v>9</v>
      </c>
      <c r="G9">
        <v>390</v>
      </c>
      <c r="H9">
        <v>593.70000000000005</v>
      </c>
      <c r="I9" s="1">
        <v>45552</v>
      </c>
      <c r="J9">
        <v>380</v>
      </c>
      <c r="K9" s="1">
        <v>45539</v>
      </c>
      <c r="O9">
        <v>1</v>
      </c>
      <c r="P9" s="1">
        <v>45539</v>
      </c>
      <c r="Q9">
        <v>456</v>
      </c>
      <c r="R9">
        <v>1</v>
      </c>
      <c r="S9" s="1">
        <v>45539</v>
      </c>
      <c r="T9">
        <v>456</v>
      </c>
      <c r="U9">
        <v>1</v>
      </c>
      <c r="V9" s="1">
        <v>45539</v>
      </c>
      <c r="W9">
        <v>456</v>
      </c>
      <c r="X9">
        <v>2</v>
      </c>
      <c r="Y9" s="1">
        <v>45540</v>
      </c>
      <c r="Z9">
        <v>489</v>
      </c>
      <c r="AA9">
        <v>7</v>
      </c>
      <c r="AB9" s="1">
        <v>45545</v>
      </c>
      <c r="AC9">
        <v>524.65</v>
      </c>
      <c r="AD9">
        <v>14</v>
      </c>
      <c r="AE9" s="1">
        <v>45552</v>
      </c>
      <c r="AF9">
        <v>593.70000000000005</v>
      </c>
      <c r="AG9">
        <v>14</v>
      </c>
      <c r="AH9" s="1">
        <v>45552</v>
      </c>
      <c r="AI9">
        <v>593.70000000000005</v>
      </c>
    </row>
    <row r="10" spans="1:45" x14ac:dyDescent="0.3">
      <c r="A10" t="s">
        <v>42</v>
      </c>
      <c r="B10" t="s">
        <v>103</v>
      </c>
      <c r="C10">
        <v>450</v>
      </c>
      <c r="D10" s="1">
        <v>45538</v>
      </c>
      <c r="E10">
        <v>2024</v>
      </c>
      <c r="F10">
        <v>9</v>
      </c>
      <c r="G10">
        <v>990</v>
      </c>
      <c r="H10">
        <v>1267.95</v>
      </c>
      <c r="I10" s="1">
        <v>45545</v>
      </c>
      <c r="J10">
        <v>802.1</v>
      </c>
      <c r="K10" s="1">
        <v>45538</v>
      </c>
      <c r="O10">
        <v>1</v>
      </c>
      <c r="P10" s="1">
        <v>45538</v>
      </c>
      <c r="Q10">
        <v>994.55</v>
      </c>
      <c r="R10">
        <v>1</v>
      </c>
      <c r="S10" s="1">
        <v>45538</v>
      </c>
      <c r="T10">
        <v>994.55</v>
      </c>
      <c r="U10">
        <v>1</v>
      </c>
      <c r="V10" s="1">
        <v>45538</v>
      </c>
      <c r="W10">
        <v>994.55</v>
      </c>
      <c r="X10">
        <v>1</v>
      </c>
      <c r="Y10" s="1">
        <v>45538</v>
      </c>
      <c r="Z10">
        <v>994.55</v>
      </c>
      <c r="AA10">
        <v>1</v>
      </c>
      <c r="AB10" s="1">
        <v>45538</v>
      </c>
      <c r="AC10">
        <v>994.55</v>
      </c>
      <c r="AD10">
        <v>1</v>
      </c>
      <c r="AE10" s="1">
        <v>45538</v>
      </c>
      <c r="AF10">
        <v>994.55</v>
      </c>
      <c r="AG10">
        <v>1</v>
      </c>
      <c r="AH10" s="1">
        <v>45538</v>
      </c>
      <c r="AI10">
        <v>994.55</v>
      </c>
      <c r="AJ10">
        <v>1</v>
      </c>
      <c r="AK10" s="1">
        <v>45538</v>
      </c>
      <c r="AL10">
        <v>994.55</v>
      </c>
      <c r="AM10">
        <v>1</v>
      </c>
      <c r="AN10" s="1">
        <v>45538</v>
      </c>
      <c r="AO10">
        <v>994.55</v>
      </c>
      <c r="AP10">
        <v>1</v>
      </c>
      <c r="AQ10" s="1">
        <v>45538</v>
      </c>
      <c r="AR10">
        <v>994.55</v>
      </c>
    </row>
    <row r="11" spans="1:45" x14ac:dyDescent="0.3">
      <c r="A11" t="s">
        <v>27</v>
      </c>
      <c r="B11" t="s">
        <v>104</v>
      </c>
      <c r="C11">
        <v>900</v>
      </c>
      <c r="D11" s="1">
        <v>45530</v>
      </c>
      <c r="E11">
        <v>2024</v>
      </c>
      <c r="F11">
        <v>8</v>
      </c>
      <c r="G11">
        <v>1299</v>
      </c>
      <c r="H11">
        <v>1338.15</v>
      </c>
      <c r="I11" s="1">
        <v>45546</v>
      </c>
      <c r="J11">
        <v>1110.1500000000001</v>
      </c>
      <c r="K11" s="1">
        <v>45539</v>
      </c>
      <c r="O11">
        <v>1</v>
      </c>
      <c r="P11" s="1">
        <v>45530</v>
      </c>
      <c r="Q11">
        <v>1314.8</v>
      </c>
      <c r="R11">
        <v>1</v>
      </c>
      <c r="S11" s="1">
        <v>45530</v>
      </c>
      <c r="T11">
        <v>1314.8</v>
      </c>
      <c r="U11">
        <v>1</v>
      </c>
      <c r="V11" s="1">
        <v>45530</v>
      </c>
      <c r="W11">
        <v>1314.8</v>
      </c>
      <c r="X11">
        <v>1</v>
      </c>
      <c r="Y11" s="1">
        <v>45530</v>
      </c>
      <c r="Z11">
        <v>1314.8</v>
      </c>
    </row>
    <row r="12" spans="1:45" x14ac:dyDescent="0.3">
      <c r="A12" t="s">
        <v>48</v>
      </c>
      <c r="B12" t="s">
        <v>105</v>
      </c>
      <c r="C12">
        <v>108</v>
      </c>
      <c r="D12" s="1">
        <v>45517</v>
      </c>
      <c r="E12">
        <v>2024</v>
      </c>
      <c r="F12">
        <v>8</v>
      </c>
      <c r="G12">
        <v>235</v>
      </c>
      <c r="H12">
        <v>263.99</v>
      </c>
      <c r="I12" s="1">
        <v>45524</v>
      </c>
      <c r="J12">
        <v>187.1</v>
      </c>
      <c r="K12" s="1">
        <v>45523</v>
      </c>
      <c r="O12">
        <v>1</v>
      </c>
      <c r="P12" s="1">
        <v>45517</v>
      </c>
      <c r="Q12">
        <v>255.99</v>
      </c>
      <c r="R12">
        <v>1</v>
      </c>
      <c r="S12" s="1">
        <v>45517</v>
      </c>
      <c r="T12">
        <v>255.99</v>
      </c>
      <c r="U12">
        <v>1</v>
      </c>
      <c r="V12" s="1">
        <v>45517</v>
      </c>
      <c r="W12">
        <v>255.99</v>
      </c>
      <c r="X12">
        <v>1</v>
      </c>
      <c r="Y12" s="1">
        <v>45517</v>
      </c>
      <c r="Z12">
        <v>255.99</v>
      </c>
      <c r="AA12">
        <v>1</v>
      </c>
      <c r="AB12" s="1">
        <v>45517</v>
      </c>
      <c r="AC12">
        <v>255.99</v>
      </c>
      <c r="AD12">
        <v>1</v>
      </c>
      <c r="AE12" s="1">
        <v>45517</v>
      </c>
      <c r="AF12">
        <v>255.99</v>
      </c>
      <c r="AG12">
        <v>1</v>
      </c>
      <c r="AH12" s="1">
        <v>45517</v>
      </c>
      <c r="AI12">
        <v>255.99</v>
      </c>
      <c r="AJ12">
        <v>1</v>
      </c>
      <c r="AK12" s="1">
        <v>45517</v>
      </c>
      <c r="AL12">
        <v>255.99</v>
      </c>
      <c r="AM12">
        <v>1</v>
      </c>
      <c r="AN12" s="1">
        <v>45517</v>
      </c>
      <c r="AO12">
        <v>255.99</v>
      </c>
      <c r="AP12">
        <v>1</v>
      </c>
      <c r="AQ12" s="1">
        <v>45517</v>
      </c>
      <c r="AR12">
        <v>255.99</v>
      </c>
    </row>
    <row r="13" spans="1:45" x14ac:dyDescent="0.3">
      <c r="A13" t="s">
        <v>14</v>
      </c>
      <c r="B13" t="s">
        <v>106</v>
      </c>
      <c r="C13">
        <v>465</v>
      </c>
      <c r="D13" s="1">
        <v>45517</v>
      </c>
      <c r="E13">
        <v>2024</v>
      </c>
      <c r="F13">
        <v>8</v>
      </c>
      <c r="G13">
        <v>651</v>
      </c>
      <c r="H13">
        <v>707.7</v>
      </c>
      <c r="I13" s="1">
        <v>45517</v>
      </c>
      <c r="J13">
        <v>587.6</v>
      </c>
      <c r="K13" s="1">
        <v>45544</v>
      </c>
      <c r="O13">
        <v>1</v>
      </c>
      <c r="P13" s="1">
        <v>45517</v>
      </c>
      <c r="Q13">
        <v>707.7</v>
      </c>
      <c r="R13">
        <v>1</v>
      </c>
      <c r="S13" s="1">
        <v>45517</v>
      </c>
      <c r="T13">
        <v>707.7</v>
      </c>
      <c r="U13">
        <v>1</v>
      </c>
      <c r="V13" s="1">
        <v>45517</v>
      </c>
      <c r="W13">
        <v>707.7</v>
      </c>
      <c r="X13">
        <v>1</v>
      </c>
      <c r="Y13" s="1">
        <v>45517</v>
      </c>
      <c r="Z13">
        <v>707.7</v>
      </c>
      <c r="AA13">
        <v>1</v>
      </c>
      <c r="AB13" s="1">
        <v>45517</v>
      </c>
      <c r="AC13">
        <v>707.7</v>
      </c>
    </row>
    <row r="14" spans="1:45" x14ac:dyDescent="0.3">
      <c r="A14" t="s">
        <v>39</v>
      </c>
      <c r="B14" t="s">
        <v>107</v>
      </c>
      <c r="C14">
        <v>76</v>
      </c>
      <c r="D14" s="1">
        <v>45513</v>
      </c>
      <c r="E14">
        <v>2024</v>
      </c>
      <c r="F14">
        <v>8</v>
      </c>
      <c r="G14">
        <v>76</v>
      </c>
      <c r="H14">
        <v>157.4</v>
      </c>
      <c r="I14" s="1">
        <v>45524</v>
      </c>
      <c r="J14">
        <v>76</v>
      </c>
      <c r="K14" s="1">
        <v>45513</v>
      </c>
      <c r="O14">
        <v>1</v>
      </c>
      <c r="P14" s="1">
        <v>45513</v>
      </c>
      <c r="Q14">
        <v>91.2</v>
      </c>
      <c r="R14">
        <v>1</v>
      </c>
      <c r="S14" s="1">
        <v>45513</v>
      </c>
      <c r="T14">
        <v>91.2</v>
      </c>
      <c r="U14">
        <v>4</v>
      </c>
      <c r="V14" s="1">
        <v>45516</v>
      </c>
      <c r="W14">
        <v>109.44</v>
      </c>
      <c r="X14">
        <v>4</v>
      </c>
      <c r="Y14" s="1">
        <v>45516</v>
      </c>
      <c r="Z14">
        <v>109.44</v>
      </c>
      <c r="AA14">
        <v>5</v>
      </c>
      <c r="AB14" s="1">
        <v>45517</v>
      </c>
      <c r="AC14">
        <v>129.4</v>
      </c>
      <c r="AD14">
        <v>5</v>
      </c>
      <c r="AE14" s="1">
        <v>45517</v>
      </c>
      <c r="AF14">
        <v>129.4</v>
      </c>
      <c r="AG14">
        <v>5</v>
      </c>
      <c r="AH14" s="1">
        <v>45517</v>
      </c>
      <c r="AI14">
        <v>129.4</v>
      </c>
      <c r="AJ14">
        <v>11</v>
      </c>
      <c r="AK14" s="1">
        <v>45523</v>
      </c>
      <c r="AL14">
        <v>146.38</v>
      </c>
      <c r="AM14">
        <v>11</v>
      </c>
      <c r="AN14" s="1">
        <v>45523</v>
      </c>
      <c r="AO14">
        <v>146.38</v>
      </c>
      <c r="AP14">
        <v>12</v>
      </c>
      <c r="AQ14" s="1">
        <v>45524</v>
      </c>
      <c r="AR14">
        <v>157.4</v>
      </c>
    </row>
    <row r="15" spans="1:45" x14ac:dyDescent="0.3">
      <c r="A15" t="s">
        <v>16</v>
      </c>
      <c r="B15" t="s">
        <v>108</v>
      </c>
      <c r="C15">
        <v>401</v>
      </c>
      <c r="D15" s="1">
        <v>45512</v>
      </c>
      <c r="E15">
        <v>2024</v>
      </c>
      <c r="F15">
        <v>8</v>
      </c>
      <c r="G15">
        <v>419</v>
      </c>
      <c r="H15">
        <v>424.8</v>
      </c>
      <c r="I15" s="1">
        <v>45512</v>
      </c>
      <c r="J15">
        <v>367.9</v>
      </c>
      <c r="K15" s="1">
        <v>45545</v>
      </c>
    </row>
    <row r="16" spans="1:45" x14ac:dyDescent="0.3">
      <c r="A16" t="s">
        <v>4</v>
      </c>
      <c r="B16" t="s">
        <v>109</v>
      </c>
      <c r="C16">
        <v>679</v>
      </c>
      <c r="D16" s="1">
        <v>45510</v>
      </c>
      <c r="E16">
        <v>2024</v>
      </c>
      <c r="F16">
        <v>8</v>
      </c>
      <c r="G16">
        <v>725</v>
      </c>
      <c r="H16">
        <v>1175.9000000000001</v>
      </c>
      <c r="I16" s="1">
        <v>45524</v>
      </c>
      <c r="J16">
        <v>725</v>
      </c>
      <c r="K16" s="1">
        <v>45510</v>
      </c>
      <c r="O16">
        <v>1</v>
      </c>
      <c r="P16" s="1">
        <v>45510</v>
      </c>
      <c r="Q16">
        <v>797.5</v>
      </c>
      <c r="R16">
        <v>2</v>
      </c>
      <c r="S16" s="1">
        <v>45511</v>
      </c>
      <c r="T16">
        <v>824</v>
      </c>
      <c r="U16">
        <v>7</v>
      </c>
      <c r="V16" s="1">
        <v>45516</v>
      </c>
      <c r="W16">
        <v>883.45</v>
      </c>
      <c r="X16">
        <v>8</v>
      </c>
      <c r="Y16" s="1">
        <v>45517</v>
      </c>
      <c r="Z16">
        <v>957.9</v>
      </c>
      <c r="AA16">
        <v>9</v>
      </c>
      <c r="AB16" s="1">
        <v>45518</v>
      </c>
      <c r="AC16">
        <v>1028.75</v>
      </c>
      <c r="AD16">
        <v>14</v>
      </c>
      <c r="AE16" s="1">
        <v>45523</v>
      </c>
      <c r="AF16">
        <v>1119.95</v>
      </c>
      <c r="AG16">
        <v>15</v>
      </c>
      <c r="AH16" s="1">
        <v>45524</v>
      </c>
      <c r="AI16">
        <v>1175.9000000000001</v>
      </c>
    </row>
    <row r="17" spans="1:45" x14ac:dyDescent="0.3">
      <c r="A17" t="s">
        <v>45</v>
      </c>
      <c r="B17" t="s">
        <v>110</v>
      </c>
      <c r="C17">
        <v>95</v>
      </c>
      <c r="D17" s="1">
        <v>45499</v>
      </c>
      <c r="E17">
        <v>2024</v>
      </c>
      <c r="F17">
        <v>7</v>
      </c>
      <c r="G17">
        <v>109</v>
      </c>
      <c r="H17">
        <v>158.80000000000001</v>
      </c>
      <c r="I17" s="1">
        <v>45547</v>
      </c>
      <c r="J17">
        <v>107.1</v>
      </c>
      <c r="K17" s="1">
        <v>45499</v>
      </c>
      <c r="O17">
        <v>1</v>
      </c>
      <c r="P17" s="1">
        <v>45499</v>
      </c>
      <c r="Q17">
        <v>128.79</v>
      </c>
      <c r="R17">
        <v>1</v>
      </c>
      <c r="S17" s="1">
        <v>45499</v>
      </c>
      <c r="T17">
        <v>128.79</v>
      </c>
      <c r="U17">
        <v>1</v>
      </c>
      <c r="V17" s="1">
        <v>45499</v>
      </c>
      <c r="W17">
        <v>128.79</v>
      </c>
      <c r="X17">
        <v>26</v>
      </c>
      <c r="Y17" s="1">
        <v>45524</v>
      </c>
      <c r="Z17">
        <v>134.1</v>
      </c>
      <c r="AA17">
        <v>27</v>
      </c>
      <c r="AB17" s="1">
        <v>45525</v>
      </c>
      <c r="AC17">
        <v>143</v>
      </c>
      <c r="AD17">
        <v>48</v>
      </c>
      <c r="AE17" s="1">
        <v>45546</v>
      </c>
      <c r="AF17">
        <v>154.28</v>
      </c>
    </row>
    <row r="18" spans="1:45" x14ac:dyDescent="0.3">
      <c r="A18" t="s">
        <v>19</v>
      </c>
      <c r="B18" t="s">
        <v>111</v>
      </c>
      <c r="C18">
        <v>1008</v>
      </c>
      <c r="D18" s="1">
        <v>45483</v>
      </c>
      <c r="E18">
        <v>2024</v>
      </c>
      <c r="F18">
        <v>7</v>
      </c>
      <c r="G18">
        <v>1325.05</v>
      </c>
      <c r="H18">
        <v>1580</v>
      </c>
      <c r="I18" s="1">
        <v>45553</v>
      </c>
      <c r="J18">
        <v>1225</v>
      </c>
      <c r="K18" s="1">
        <v>45517</v>
      </c>
      <c r="O18">
        <v>1</v>
      </c>
      <c r="P18" s="1">
        <v>45483</v>
      </c>
      <c r="Q18">
        <v>1385</v>
      </c>
      <c r="R18">
        <v>1</v>
      </c>
      <c r="S18" s="1">
        <v>45483</v>
      </c>
      <c r="T18">
        <v>1385</v>
      </c>
      <c r="U18">
        <v>1</v>
      </c>
      <c r="V18" s="1">
        <v>45483</v>
      </c>
      <c r="W18">
        <v>1385</v>
      </c>
      <c r="X18">
        <v>45</v>
      </c>
      <c r="Y18" s="1">
        <v>45527</v>
      </c>
      <c r="Z18">
        <v>1414</v>
      </c>
      <c r="AA18">
        <v>70</v>
      </c>
      <c r="AB18" s="1">
        <v>45552</v>
      </c>
      <c r="AC18">
        <v>1520</v>
      </c>
    </row>
    <row r="19" spans="1:45" x14ac:dyDescent="0.3">
      <c r="A19" t="s">
        <v>11</v>
      </c>
      <c r="B19" t="s">
        <v>112</v>
      </c>
      <c r="C19">
        <v>256</v>
      </c>
      <c r="D19" s="1">
        <v>45483</v>
      </c>
      <c r="E19">
        <v>2024</v>
      </c>
      <c r="F19">
        <v>7</v>
      </c>
      <c r="G19">
        <v>356</v>
      </c>
      <c r="H19">
        <v>460.9</v>
      </c>
      <c r="I19" s="1">
        <v>45546</v>
      </c>
      <c r="J19">
        <v>325.10000000000002</v>
      </c>
      <c r="K19" s="1">
        <v>45496</v>
      </c>
      <c r="O19">
        <v>1</v>
      </c>
      <c r="P19" s="1">
        <v>45483</v>
      </c>
      <c r="Q19">
        <v>372</v>
      </c>
      <c r="R19">
        <v>1</v>
      </c>
      <c r="S19" s="1">
        <v>45483</v>
      </c>
      <c r="T19">
        <v>372</v>
      </c>
      <c r="U19">
        <v>1</v>
      </c>
      <c r="V19" s="1">
        <v>45483</v>
      </c>
      <c r="W19">
        <v>372</v>
      </c>
      <c r="X19">
        <v>1</v>
      </c>
      <c r="Y19" s="1">
        <v>45483</v>
      </c>
      <c r="Z19">
        <v>372</v>
      </c>
      <c r="AA19">
        <v>23</v>
      </c>
      <c r="AB19" s="1">
        <v>45505</v>
      </c>
      <c r="AC19">
        <v>386</v>
      </c>
      <c r="AD19">
        <v>51</v>
      </c>
      <c r="AE19" s="1">
        <v>45533</v>
      </c>
      <c r="AF19">
        <v>410.2</v>
      </c>
      <c r="AG19">
        <v>56</v>
      </c>
      <c r="AH19" s="1">
        <v>45538</v>
      </c>
      <c r="AI19">
        <v>443.9</v>
      </c>
      <c r="AJ19">
        <v>64</v>
      </c>
      <c r="AK19" s="1">
        <v>45546</v>
      </c>
      <c r="AL19">
        <v>460.9</v>
      </c>
    </row>
    <row r="20" spans="1:45" x14ac:dyDescent="0.3">
      <c r="A20" t="s">
        <v>5</v>
      </c>
      <c r="B20" t="s">
        <v>113</v>
      </c>
      <c r="C20">
        <v>281</v>
      </c>
      <c r="D20" s="1">
        <v>45475</v>
      </c>
      <c r="E20">
        <v>2024</v>
      </c>
      <c r="F20">
        <v>7</v>
      </c>
      <c r="G20">
        <v>320</v>
      </c>
      <c r="H20">
        <v>372.4</v>
      </c>
      <c r="I20" s="1">
        <v>45551</v>
      </c>
      <c r="J20">
        <v>282.05</v>
      </c>
      <c r="K20" s="1">
        <v>45496</v>
      </c>
      <c r="O20">
        <v>1</v>
      </c>
      <c r="P20" s="1">
        <v>45475</v>
      </c>
      <c r="Q20">
        <v>324.8</v>
      </c>
      <c r="R20">
        <v>2</v>
      </c>
      <c r="S20" s="1">
        <v>45476</v>
      </c>
      <c r="T20">
        <v>339.3</v>
      </c>
      <c r="U20">
        <v>63</v>
      </c>
      <c r="V20" s="1">
        <v>45537</v>
      </c>
      <c r="W20">
        <v>371.85</v>
      </c>
    </row>
    <row r="21" spans="1:45" x14ac:dyDescent="0.3">
      <c r="A21" t="s">
        <v>46</v>
      </c>
      <c r="B21" t="s">
        <v>114</v>
      </c>
      <c r="C21">
        <v>369</v>
      </c>
      <c r="D21" s="1">
        <v>45471</v>
      </c>
      <c r="E21">
        <v>2024</v>
      </c>
      <c r="F21">
        <v>6</v>
      </c>
      <c r="G21">
        <v>494.95</v>
      </c>
      <c r="H21">
        <v>627.5</v>
      </c>
      <c r="I21" s="1">
        <v>45485</v>
      </c>
      <c r="J21">
        <v>470.2</v>
      </c>
      <c r="K21" s="1">
        <v>45471</v>
      </c>
      <c r="O21">
        <v>1</v>
      </c>
      <c r="P21" s="1">
        <v>45471</v>
      </c>
      <c r="Q21">
        <v>509.4</v>
      </c>
      <c r="R21">
        <v>1</v>
      </c>
      <c r="S21" s="1">
        <v>45471</v>
      </c>
      <c r="T21">
        <v>509.4</v>
      </c>
      <c r="U21">
        <v>1</v>
      </c>
      <c r="V21" s="1">
        <v>45471</v>
      </c>
      <c r="W21">
        <v>509.4</v>
      </c>
      <c r="X21">
        <v>4</v>
      </c>
      <c r="Y21" s="1">
        <v>45474</v>
      </c>
      <c r="Z21">
        <v>518.70000000000005</v>
      </c>
      <c r="AA21">
        <v>14</v>
      </c>
      <c r="AB21" s="1">
        <v>45484</v>
      </c>
      <c r="AC21">
        <v>603</v>
      </c>
      <c r="AD21">
        <v>14</v>
      </c>
      <c r="AE21" s="1">
        <v>45484</v>
      </c>
      <c r="AF21">
        <v>603</v>
      </c>
      <c r="AG21">
        <v>15</v>
      </c>
      <c r="AH21" s="1">
        <v>45485</v>
      </c>
      <c r="AI21">
        <v>627.5</v>
      </c>
    </row>
    <row r="22" spans="1:45" x14ac:dyDescent="0.3">
      <c r="A22" t="s">
        <v>17</v>
      </c>
      <c r="B22" t="s">
        <v>115</v>
      </c>
      <c r="C22">
        <v>203</v>
      </c>
      <c r="D22" s="1">
        <v>45469</v>
      </c>
      <c r="E22">
        <v>2024</v>
      </c>
      <c r="F22">
        <v>6</v>
      </c>
      <c r="G22">
        <v>339</v>
      </c>
      <c r="H22">
        <v>400</v>
      </c>
      <c r="I22" s="1">
        <v>45478</v>
      </c>
      <c r="J22">
        <v>310</v>
      </c>
      <c r="K22" s="1">
        <v>45469</v>
      </c>
      <c r="O22">
        <v>1</v>
      </c>
      <c r="P22" s="1">
        <v>45469</v>
      </c>
      <c r="Q22">
        <v>365.7</v>
      </c>
      <c r="R22">
        <v>1</v>
      </c>
      <c r="S22" s="1">
        <v>45469</v>
      </c>
      <c r="T22">
        <v>365.7</v>
      </c>
      <c r="U22">
        <v>1</v>
      </c>
      <c r="V22" s="1">
        <v>45469</v>
      </c>
      <c r="W22">
        <v>365.7</v>
      </c>
      <c r="X22">
        <v>1</v>
      </c>
      <c r="Y22" s="1">
        <v>45469</v>
      </c>
      <c r="Z22">
        <v>365.7</v>
      </c>
      <c r="AA22">
        <v>1</v>
      </c>
      <c r="AB22" s="1">
        <v>45469</v>
      </c>
      <c r="AC22">
        <v>365.7</v>
      </c>
      <c r="AD22">
        <v>1</v>
      </c>
      <c r="AE22" s="1">
        <v>45469</v>
      </c>
      <c r="AF22">
        <v>365.7</v>
      </c>
      <c r="AG22">
        <v>1</v>
      </c>
      <c r="AH22" s="1">
        <v>45469</v>
      </c>
      <c r="AI22">
        <v>365.7</v>
      </c>
      <c r="AJ22">
        <v>1</v>
      </c>
      <c r="AK22" s="1">
        <v>45469</v>
      </c>
      <c r="AL22">
        <v>365.7</v>
      </c>
      <c r="AM22">
        <v>10</v>
      </c>
      <c r="AN22" s="1">
        <v>45478</v>
      </c>
      <c r="AO22">
        <v>400</v>
      </c>
    </row>
    <row r="23" spans="1:45" x14ac:dyDescent="0.3">
      <c r="A23" t="s">
        <v>36</v>
      </c>
      <c r="B23" t="s">
        <v>116</v>
      </c>
      <c r="C23">
        <v>93</v>
      </c>
      <c r="D23" s="1">
        <v>45461</v>
      </c>
      <c r="E23">
        <v>2024</v>
      </c>
      <c r="F23">
        <v>6</v>
      </c>
      <c r="G23">
        <v>138.1</v>
      </c>
      <c r="H23">
        <v>197.5</v>
      </c>
      <c r="I23" s="1">
        <v>45462</v>
      </c>
      <c r="J23">
        <v>135</v>
      </c>
      <c r="K23" s="1">
        <v>45461</v>
      </c>
      <c r="O23">
        <v>1</v>
      </c>
      <c r="P23" s="1">
        <v>45461</v>
      </c>
      <c r="Q23">
        <v>165.72</v>
      </c>
      <c r="R23">
        <v>1</v>
      </c>
      <c r="S23" s="1">
        <v>45461</v>
      </c>
      <c r="T23">
        <v>165.72</v>
      </c>
      <c r="U23">
        <v>1</v>
      </c>
      <c r="V23" s="1">
        <v>45461</v>
      </c>
      <c r="W23">
        <v>165.72</v>
      </c>
      <c r="X23">
        <v>1</v>
      </c>
      <c r="Y23" s="1">
        <v>45461</v>
      </c>
      <c r="Z23">
        <v>165.72</v>
      </c>
      <c r="AA23">
        <v>1</v>
      </c>
      <c r="AB23" s="1">
        <v>45461</v>
      </c>
      <c r="AC23">
        <v>165.72</v>
      </c>
      <c r="AD23">
        <v>1</v>
      </c>
      <c r="AE23" s="1">
        <v>45461</v>
      </c>
      <c r="AF23">
        <v>165.72</v>
      </c>
      <c r="AG23">
        <v>1</v>
      </c>
      <c r="AH23" s="1">
        <v>45461</v>
      </c>
      <c r="AI23">
        <v>165.72</v>
      </c>
      <c r="AJ23">
        <v>2</v>
      </c>
      <c r="AK23" s="1">
        <v>45462</v>
      </c>
      <c r="AL23">
        <v>197.5</v>
      </c>
      <c r="AM23">
        <v>2</v>
      </c>
      <c r="AN23" s="1">
        <v>45462</v>
      </c>
      <c r="AO23">
        <v>197.5</v>
      </c>
      <c r="AP23">
        <v>2</v>
      </c>
      <c r="AQ23" s="1">
        <v>45462</v>
      </c>
      <c r="AR23">
        <v>197.5</v>
      </c>
    </row>
    <row r="24" spans="1:45" x14ac:dyDescent="0.3">
      <c r="A24" t="s">
        <v>33</v>
      </c>
      <c r="B24" t="s">
        <v>117</v>
      </c>
      <c r="C24">
        <v>136</v>
      </c>
      <c r="D24" s="1">
        <v>45453</v>
      </c>
      <c r="E24">
        <v>2024</v>
      </c>
      <c r="F24">
        <v>6</v>
      </c>
      <c r="AS24" t="s">
        <v>118</v>
      </c>
    </row>
    <row r="25" spans="1:45" x14ac:dyDescent="0.3">
      <c r="A25" t="s">
        <v>8</v>
      </c>
      <c r="B25" t="s">
        <v>119</v>
      </c>
      <c r="C25">
        <v>383</v>
      </c>
      <c r="D25" s="1">
        <v>45442</v>
      </c>
      <c r="E25">
        <v>2024</v>
      </c>
      <c r="F25">
        <v>5</v>
      </c>
      <c r="G25">
        <v>435</v>
      </c>
      <c r="H25">
        <v>946</v>
      </c>
      <c r="I25" s="1">
        <v>45526</v>
      </c>
      <c r="J25">
        <v>371.4</v>
      </c>
      <c r="K25" s="1">
        <v>45447</v>
      </c>
      <c r="O25">
        <v>1</v>
      </c>
      <c r="P25" s="1">
        <v>45442</v>
      </c>
      <c r="Q25">
        <v>451.45</v>
      </c>
      <c r="R25">
        <v>9</v>
      </c>
      <c r="S25" s="1">
        <v>45450</v>
      </c>
      <c r="T25">
        <v>468.8</v>
      </c>
      <c r="U25">
        <v>21</v>
      </c>
      <c r="V25" s="1">
        <v>45462</v>
      </c>
      <c r="W25">
        <v>507.25</v>
      </c>
      <c r="X25">
        <v>22</v>
      </c>
      <c r="Y25" s="1">
        <v>45463</v>
      </c>
      <c r="Z25">
        <v>544</v>
      </c>
      <c r="AA25">
        <v>28</v>
      </c>
      <c r="AB25" s="1">
        <v>45469</v>
      </c>
      <c r="AC25">
        <v>578.95000000000005</v>
      </c>
      <c r="AD25">
        <v>42</v>
      </c>
      <c r="AE25" s="1">
        <v>45483</v>
      </c>
      <c r="AF25">
        <v>613.45000000000005</v>
      </c>
      <c r="AG25">
        <v>50</v>
      </c>
      <c r="AH25" s="1">
        <v>45491</v>
      </c>
      <c r="AI25">
        <v>757.85</v>
      </c>
      <c r="AJ25">
        <v>50</v>
      </c>
      <c r="AK25" s="1">
        <v>45491</v>
      </c>
      <c r="AL25">
        <v>757.85</v>
      </c>
      <c r="AM25">
        <v>50</v>
      </c>
      <c r="AN25" s="1">
        <v>45491</v>
      </c>
      <c r="AO25">
        <v>757.85</v>
      </c>
      <c r="AP25">
        <v>83</v>
      </c>
      <c r="AQ25" s="1">
        <v>45524</v>
      </c>
      <c r="AR25">
        <v>856</v>
      </c>
    </row>
    <row r="26" spans="1:45" x14ac:dyDescent="0.3">
      <c r="A26" t="s">
        <v>23</v>
      </c>
      <c r="B26" t="s">
        <v>120</v>
      </c>
      <c r="C26">
        <v>272</v>
      </c>
      <c r="D26" s="1">
        <v>45435</v>
      </c>
      <c r="E26">
        <v>2024</v>
      </c>
      <c r="F26">
        <v>5</v>
      </c>
      <c r="G26">
        <v>286</v>
      </c>
      <c r="H26">
        <v>407.4</v>
      </c>
      <c r="I26" s="1">
        <v>45539</v>
      </c>
      <c r="J26">
        <v>278.55</v>
      </c>
      <c r="K26" s="1">
        <v>45447</v>
      </c>
      <c r="O26">
        <v>1</v>
      </c>
      <c r="P26" s="1">
        <v>45435</v>
      </c>
      <c r="Q26">
        <v>314</v>
      </c>
      <c r="R26">
        <v>15</v>
      </c>
      <c r="S26" s="1">
        <v>45449</v>
      </c>
      <c r="T26">
        <v>335</v>
      </c>
      <c r="U26">
        <v>16</v>
      </c>
      <c r="V26" s="1">
        <v>45450</v>
      </c>
      <c r="W26">
        <v>363.9</v>
      </c>
      <c r="X26">
        <v>91</v>
      </c>
      <c r="Y26" s="1">
        <v>45525</v>
      </c>
      <c r="Z26">
        <v>383.4</v>
      </c>
    </row>
    <row r="27" spans="1:45" x14ac:dyDescent="0.3">
      <c r="A27" t="s">
        <v>3</v>
      </c>
      <c r="B27" t="s">
        <v>121</v>
      </c>
      <c r="C27">
        <v>315</v>
      </c>
      <c r="D27" s="1">
        <v>45427</v>
      </c>
      <c r="E27">
        <v>2024</v>
      </c>
      <c r="F27">
        <v>5</v>
      </c>
      <c r="G27">
        <v>315</v>
      </c>
      <c r="H27">
        <v>486.95</v>
      </c>
      <c r="I27" s="1">
        <v>45496</v>
      </c>
      <c r="J27">
        <v>292</v>
      </c>
      <c r="K27" s="1">
        <v>45427</v>
      </c>
      <c r="O27">
        <v>2</v>
      </c>
      <c r="P27" s="1">
        <v>45428</v>
      </c>
      <c r="Q27">
        <v>362.35</v>
      </c>
      <c r="R27">
        <v>27</v>
      </c>
      <c r="S27" s="1">
        <v>45453</v>
      </c>
      <c r="T27">
        <v>398</v>
      </c>
      <c r="U27">
        <v>31</v>
      </c>
      <c r="V27" s="1">
        <v>45457</v>
      </c>
      <c r="W27">
        <v>431.85</v>
      </c>
      <c r="X27">
        <v>50</v>
      </c>
      <c r="Y27" s="1">
        <v>45476</v>
      </c>
      <c r="Z27">
        <v>445.95</v>
      </c>
      <c r="AA27">
        <v>65</v>
      </c>
      <c r="AB27" s="1">
        <v>45491</v>
      </c>
      <c r="AC27">
        <v>484</v>
      </c>
    </row>
    <row r="28" spans="1:45" x14ac:dyDescent="0.3">
      <c r="A28" t="s">
        <v>47</v>
      </c>
      <c r="B28" t="s">
        <v>122</v>
      </c>
      <c r="C28">
        <v>920</v>
      </c>
      <c r="D28" s="1">
        <v>45427</v>
      </c>
      <c r="E28">
        <v>2024</v>
      </c>
      <c r="F28">
        <v>5</v>
      </c>
      <c r="G28">
        <v>1426</v>
      </c>
      <c r="H28">
        <v>2001</v>
      </c>
      <c r="I28" s="1">
        <v>45539</v>
      </c>
      <c r="J28">
        <v>1231.6500000000001</v>
      </c>
      <c r="K28" s="1">
        <v>45447</v>
      </c>
      <c r="O28">
        <v>1</v>
      </c>
      <c r="P28" s="1">
        <v>45427</v>
      </c>
      <c r="Q28">
        <v>1455.95</v>
      </c>
      <c r="R28">
        <v>1</v>
      </c>
      <c r="S28" s="1">
        <v>45427</v>
      </c>
      <c r="T28">
        <v>1455.95</v>
      </c>
      <c r="U28">
        <v>1</v>
      </c>
      <c r="V28" s="1">
        <v>45427</v>
      </c>
      <c r="W28">
        <v>1455.95</v>
      </c>
      <c r="X28">
        <v>1</v>
      </c>
      <c r="Y28" s="1">
        <v>45427</v>
      </c>
      <c r="Z28">
        <v>1455.95</v>
      </c>
      <c r="AA28">
        <v>1</v>
      </c>
      <c r="AB28" s="1">
        <v>45427</v>
      </c>
      <c r="AC28">
        <v>1455.95</v>
      </c>
      <c r="AD28">
        <v>2</v>
      </c>
      <c r="AE28" s="1">
        <v>45428</v>
      </c>
      <c r="AF28">
        <v>1473</v>
      </c>
      <c r="AG28">
        <v>24</v>
      </c>
      <c r="AH28" s="1">
        <v>45450</v>
      </c>
      <c r="AI28">
        <v>1574.2</v>
      </c>
      <c r="AJ28">
        <v>41</v>
      </c>
      <c r="AK28" s="1">
        <v>45467</v>
      </c>
      <c r="AL28">
        <v>1764.3</v>
      </c>
      <c r="AM28">
        <v>41</v>
      </c>
      <c r="AN28" s="1">
        <v>45467</v>
      </c>
      <c r="AO28">
        <v>1764.3</v>
      </c>
      <c r="AP28">
        <v>42</v>
      </c>
      <c r="AQ28" s="1">
        <v>45468</v>
      </c>
      <c r="AR28">
        <v>1907.45</v>
      </c>
    </row>
    <row r="29" spans="1:45" x14ac:dyDescent="0.3">
      <c r="A29" t="s">
        <v>26</v>
      </c>
      <c r="B29" t="s">
        <v>123</v>
      </c>
      <c r="C29">
        <v>452</v>
      </c>
      <c r="D29" s="1">
        <v>45425</v>
      </c>
      <c r="E29">
        <v>2024</v>
      </c>
      <c r="F29">
        <v>5</v>
      </c>
      <c r="G29">
        <v>655</v>
      </c>
      <c r="H29">
        <v>726.5</v>
      </c>
      <c r="I29" s="1">
        <v>45548</v>
      </c>
      <c r="J29">
        <v>470.1</v>
      </c>
      <c r="K29" s="1">
        <v>45447</v>
      </c>
      <c r="O29">
        <v>1</v>
      </c>
      <c r="P29" s="1">
        <v>45425</v>
      </c>
      <c r="Q29">
        <v>660</v>
      </c>
      <c r="R29">
        <v>1</v>
      </c>
      <c r="S29" s="1">
        <v>45425</v>
      </c>
      <c r="T29">
        <v>660</v>
      </c>
      <c r="U29">
        <v>1</v>
      </c>
      <c r="V29" s="1">
        <v>45425</v>
      </c>
      <c r="W29">
        <v>660</v>
      </c>
      <c r="X29">
        <v>1</v>
      </c>
      <c r="Y29" s="1">
        <v>45425</v>
      </c>
      <c r="Z29">
        <v>660</v>
      </c>
      <c r="AA29">
        <v>117</v>
      </c>
      <c r="AB29" s="1">
        <v>45541</v>
      </c>
      <c r="AC29">
        <v>689.95</v>
      </c>
      <c r="AD29">
        <v>124</v>
      </c>
      <c r="AE29" s="1">
        <v>45548</v>
      </c>
      <c r="AF29">
        <v>726.5</v>
      </c>
    </row>
    <row r="30" spans="1:45" x14ac:dyDescent="0.3">
      <c r="A30" t="s">
        <v>30</v>
      </c>
      <c r="B30" t="s">
        <v>124</v>
      </c>
      <c r="C30">
        <v>415</v>
      </c>
      <c r="D30" s="1">
        <v>45412</v>
      </c>
      <c r="E30">
        <v>2024</v>
      </c>
      <c r="F30">
        <v>4</v>
      </c>
      <c r="G30">
        <v>621</v>
      </c>
      <c r="H30">
        <v>897.25</v>
      </c>
      <c r="I30" s="1">
        <v>45467</v>
      </c>
      <c r="J30">
        <v>550</v>
      </c>
      <c r="K30" s="1">
        <v>45447</v>
      </c>
      <c r="O30">
        <v>1</v>
      </c>
      <c r="P30" s="1">
        <v>45412</v>
      </c>
      <c r="Q30">
        <v>712</v>
      </c>
      <c r="R30">
        <v>1</v>
      </c>
      <c r="S30" s="1">
        <v>45412</v>
      </c>
      <c r="T30">
        <v>712</v>
      </c>
      <c r="U30">
        <v>1</v>
      </c>
      <c r="V30" s="1">
        <v>45412</v>
      </c>
      <c r="W30">
        <v>712</v>
      </c>
      <c r="X30">
        <v>1</v>
      </c>
      <c r="Y30" s="1">
        <v>45412</v>
      </c>
      <c r="Z30">
        <v>712</v>
      </c>
      <c r="AA30">
        <v>1</v>
      </c>
      <c r="AB30" s="1">
        <v>45412</v>
      </c>
      <c r="AC30">
        <v>712</v>
      </c>
      <c r="AD30">
        <v>1</v>
      </c>
      <c r="AE30" s="1">
        <v>45412</v>
      </c>
      <c r="AF30">
        <v>712</v>
      </c>
      <c r="AG30">
        <v>1</v>
      </c>
      <c r="AH30" s="1">
        <v>45412</v>
      </c>
      <c r="AI30">
        <v>712</v>
      </c>
      <c r="AJ30">
        <v>50</v>
      </c>
      <c r="AK30" s="1">
        <v>45461</v>
      </c>
      <c r="AL30">
        <v>816</v>
      </c>
      <c r="AM30">
        <v>50</v>
      </c>
      <c r="AN30" s="1">
        <v>45461</v>
      </c>
      <c r="AO30">
        <v>816</v>
      </c>
      <c r="AP30">
        <v>51</v>
      </c>
      <c r="AQ30" s="1">
        <v>45462</v>
      </c>
      <c r="AR30">
        <v>863.95</v>
      </c>
    </row>
    <row r="31" spans="1:45" x14ac:dyDescent="0.3">
      <c r="A31" t="s">
        <v>12</v>
      </c>
      <c r="B31" t="s">
        <v>125</v>
      </c>
      <c r="C31">
        <v>570</v>
      </c>
      <c r="D31" s="1">
        <v>45394</v>
      </c>
      <c r="E31">
        <v>2024</v>
      </c>
      <c r="F31">
        <v>4</v>
      </c>
      <c r="G31">
        <v>755</v>
      </c>
      <c r="H31">
        <v>1453.95</v>
      </c>
      <c r="I31" s="1">
        <v>45548</v>
      </c>
      <c r="J31">
        <v>755</v>
      </c>
      <c r="K31" s="1">
        <v>45394</v>
      </c>
      <c r="O31">
        <v>1</v>
      </c>
      <c r="P31" s="1">
        <v>45394</v>
      </c>
      <c r="Q31">
        <v>880</v>
      </c>
      <c r="R31">
        <v>1</v>
      </c>
      <c r="S31" s="1">
        <v>45394</v>
      </c>
      <c r="T31">
        <v>880</v>
      </c>
      <c r="U31">
        <v>1</v>
      </c>
      <c r="V31" s="1">
        <v>45394</v>
      </c>
      <c r="W31">
        <v>880</v>
      </c>
      <c r="X31">
        <v>1</v>
      </c>
      <c r="Y31" s="1">
        <v>45394</v>
      </c>
      <c r="Z31">
        <v>880</v>
      </c>
      <c r="AA31">
        <v>1</v>
      </c>
      <c r="AB31" s="1">
        <v>45394</v>
      </c>
      <c r="AC31">
        <v>880</v>
      </c>
      <c r="AD31">
        <v>5</v>
      </c>
      <c r="AE31" s="1">
        <v>45398</v>
      </c>
      <c r="AF31">
        <v>917.7</v>
      </c>
      <c r="AG31">
        <v>7</v>
      </c>
      <c r="AH31" s="1">
        <v>45400</v>
      </c>
      <c r="AI31">
        <v>1015.55</v>
      </c>
      <c r="AJ31">
        <v>42</v>
      </c>
      <c r="AK31" s="1">
        <v>45435</v>
      </c>
      <c r="AL31">
        <v>1037.55</v>
      </c>
      <c r="AM31">
        <v>53</v>
      </c>
      <c r="AN31" s="1">
        <v>45446</v>
      </c>
      <c r="AO31">
        <v>1089.95</v>
      </c>
      <c r="AP31">
        <v>68</v>
      </c>
      <c r="AQ31" s="1">
        <v>45461</v>
      </c>
      <c r="AR31">
        <v>1174.5</v>
      </c>
    </row>
    <row r="32" spans="1:45" x14ac:dyDescent="0.3">
      <c r="A32" t="s">
        <v>35</v>
      </c>
      <c r="B32" t="s">
        <v>126</v>
      </c>
      <c r="C32">
        <v>715</v>
      </c>
      <c r="D32" s="1">
        <v>45372</v>
      </c>
      <c r="E32">
        <v>2024</v>
      </c>
      <c r="F32">
        <v>3</v>
      </c>
      <c r="G32">
        <v>785</v>
      </c>
      <c r="H32">
        <v>1021.95</v>
      </c>
      <c r="I32" s="1">
        <v>45394</v>
      </c>
      <c r="J32">
        <v>627.95000000000005</v>
      </c>
      <c r="K32" s="1">
        <v>45447</v>
      </c>
      <c r="O32">
        <v>1</v>
      </c>
      <c r="P32" s="1">
        <v>45372</v>
      </c>
      <c r="Q32">
        <v>793.8</v>
      </c>
      <c r="R32">
        <v>16</v>
      </c>
      <c r="S32" s="1">
        <v>45387</v>
      </c>
      <c r="T32">
        <v>867.05</v>
      </c>
      <c r="U32">
        <v>23</v>
      </c>
      <c r="V32" s="1">
        <v>45394</v>
      </c>
      <c r="W32">
        <v>1021.95</v>
      </c>
      <c r="X32">
        <v>23</v>
      </c>
      <c r="Y32" s="1">
        <v>45394</v>
      </c>
      <c r="Z32">
        <v>1021.95</v>
      </c>
    </row>
    <row r="33" spans="1:44" x14ac:dyDescent="0.3">
      <c r="A33" t="s">
        <v>41</v>
      </c>
      <c r="B33" t="s">
        <v>127</v>
      </c>
      <c r="C33">
        <v>295</v>
      </c>
      <c r="D33" s="1">
        <v>45370</v>
      </c>
      <c r="E33">
        <v>2024</v>
      </c>
      <c r="F33">
        <v>3</v>
      </c>
      <c r="G33">
        <v>289.2</v>
      </c>
      <c r="H33">
        <v>296.55</v>
      </c>
      <c r="I33" s="1">
        <v>45372</v>
      </c>
      <c r="J33">
        <v>199</v>
      </c>
      <c r="K33" s="1">
        <v>45447</v>
      </c>
    </row>
    <row r="34" spans="1:44" x14ac:dyDescent="0.3">
      <c r="A34" t="s">
        <v>24</v>
      </c>
      <c r="B34" t="s">
        <v>128</v>
      </c>
      <c r="C34">
        <v>401</v>
      </c>
      <c r="D34" s="1">
        <v>45365</v>
      </c>
      <c r="E34">
        <v>2024</v>
      </c>
      <c r="F34">
        <v>3</v>
      </c>
      <c r="G34">
        <v>351</v>
      </c>
      <c r="H34">
        <v>392.85</v>
      </c>
      <c r="I34" s="1">
        <v>45366</v>
      </c>
      <c r="J34">
        <v>301.05</v>
      </c>
      <c r="K34" s="1">
        <v>45447</v>
      </c>
    </row>
    <row r="35" spans="1:44" x14ac:dyDescent="0.3">
      <c r="A35" t="s">
        <v>28</v>
      </c>
      <c r="B35" t="s">
        <v>129</v>
      </c>
      <c r="C35">
        <v>221</v>
      </c>
      <c r="D35" s="1">
        <v>45364</v>
      </c>
      <c r="E35">
        <v>2024</v>
      </c>
      <c r="F35">
        <v>3</v>
      </c>
      <c r="G35">
        <v>209</v>
      </c>
      <c r="H35">
        <v>464</v>
      </c>
      <c r="I35" s="1">
        <v>45552</v>
      </c>
      <c r="J35">
        <v>171.35</v>
      </c>
      <c r="K35" s="1">
        <v>45379</v>
      </c>
      <c r="O35">
        <v>43</v>
      </c>
      <c r="P35" s="1">
        <v>45406</v>
      </c>
      <c r="Q35">
        <v>267.85000000000002</v>
      </c>
      <c r="R35">
        <v>43</v>
      </c>
      <c r="S35" s="1">
        <v>45406</v>
      </c>
      <c r="T35">
        <v>267.85000000000002</v>
      </c>
      <c r="U35">
        <v>141</v>
      </c>
      <c r="V35" s="1">
        <v>45504</v>
      </c>
      <c r="W35">
        <v>304.14999999999998</v>
      </c>
      <c r="X35">
        <v>150</v>
      </c>
      <c r="Y35" s="1">
        <v>45513</v>
      </c>
      <c r="Z35">
        <v>347.95</v>
      </c>
      <c r="AA35">
        <v>150</v>
      </c>
      <c r="AB35" s="1">
        <v>45513</v>
      </c>
      <c r="AC35">
        <v>347.95</v>
      </c>
      <c r="AD35">
        <v>161</v>
      </c>
      <c r="AE35" s="1">
        <v>45524</v>
      </c>
      <c r="AF35">
        <v>397.1</v>
      </c>
      <c r="AG35">
        <v>161</v>
      </c>
      <c r="AH35" s="1">
        <v>45524</v>
      </c>
      <c r="AI35">
        <v>397.1</v>
      </c>
      <c r="AJ35">
        <v>162</v>
      </c>
      <c r="AK35" s="1">
        <v>45525</v>
      </c>
      <c r="AL35">
        <v>429</v>
      </c>
      <c r="AM35">
        <v>162</v>
      </c>
      <c r="AN35" s="1">
        <v>45525</v>
      </c>
      <c r="AO35">
        <v>429</v>
      </c>
      <c r="AP35">
        <v>176</v>
      </c>
      <c r="AQ35" s="1">
        <v>45539</v>
      </c>
      <c r="AR35">
        <v>459.5</v>
      </c>
    </row>
    <row r="36" spans="1:44" x14ac:dyDescent="0.3">
      <c r="A36" t="s">
        <v>43</v>
      </c>
      <c r="B36" t="s">
        <v>130</v>
      </c>
      <c r="C36">
        <v>288</v>
      </c>
      <c r="D36" s="1">
        <v>45363</v>
      </c>
      <c r="E36">
        <v>2024</v>
      </c>
      <c r="F36">
        <v>3</v>
      </c>
      <c r="G36">
        <v>250</v>
      </c>
      <c r="H36">
        <v>320.7</v>
      </c>
      <c r="I36" s="1">
        <v>45512</v>
      </c>
      <c r="J36">
        <v>227.65</v>
      </c>
      <c r="K36" s="1">
        <v>45365</v>
      </c>
      <c r="O36">
        <v>140</v>
      </c>
      <c r="P36" s="1">
        <v>45502</v>
      </c>
      <c r="Q36">
        <v>317.7</v>
      </c>
    </row>
    <row r="37" spans="1:44" x14ac:dyDescent="0.3">
      <c r="A37" t="s">
        <v>22</v>
      </c>
      <c r="B37" t="s">
        <v>131</v>
      </c>
      <c r="C37">
        <v>142</v>
      </c>
      <c r="D37" s="1">
        <v>45356</v>
      </c>
      <c r="E37">
        <v>2024</v>
      </c>
      <c r="F37">
        <v>3</v>
      </c>
      <c r="G37">
        <v>265</v>
      </c>
      <c r="H37">
        <v>530</v>
      </c>
      <c r="I37" s="1">
        <v>45475</v>
      </c>
      <c r="J37">
        <v>169.4</v>
      </c>
      <c r="K37" s="1">
        <v>45364</v>
      </c>
      <c r="O37">
        <v>1</v>
      </c>
      <c r="P37" s="1">
        <v>45356</v>
      </c>
      <c r="Q37">
        <v>274.5</v>
      </c>
      <c r="R37">
        <v>1</v>
      </c>
      <c r="S37" s="1">
        <v>45356</v>
      </c>
      <c r="T37">
        <v>274.5</v>
      </c>
      <c r="U37">
        <v>1</v>
      </c>
      <c r="V37" s="1">
        <v>45356</v>
      </c>
      <c r="W37">
        <v>274.5</v>
      </c>
      <c r="X37">
        <v>1</v>
      </c>
      <c r="Y37" s="1">
        <v>45356</v>
      </c>
      <c r="Z37">
        <v>274.5</v>
      </c>
      <c r="AA37">
        <v>1</v>
      </c>
      <c r="AB37" s="1">
        <v>45356</v>
      </c>
      <c r="AC37">
        <v>274.5</v>
      </c>
      <c r="AD37">
        <v>1</v>
      </c>
      <c r="AE37" s="1">
        <v>45356</v>
      </c>
      <c r="AF37">
        <v>274.5</v>
      </c>
      <c r="AG37">
        <v>1</v>
      </c>
      <c r="AH37" s="1">
        <v>45356</v>
      </c>
      <c r="AI37">
        <v>274.5</v>
      </c>
      <c r="AJ37">
        <v>1</v>
      </c>
      <c r="AK37" s="1">
        <v>45356</v>
      </c>
      <c r="AL37">
        <v>274.5</v>
      </c>
      <c r="AM37">
        <v>1</v>
      </c>
      <c r="AN37" s="1">
        <v>45356</v>
      </c>
      <c r="AO37">
        <v>274.5</v>
      </c>
      <c r="AP37">
        <v>45</v>
      </c>
      <c r="AQ37" s="1">
        <v>45400</v>
      </c>
      <c r="AR37">
        <v>308.64999999999998</v>
      </c>
    </row>
    <row r="38" spans="1:44" x14ac:dyDescent="0.3">
      <c r="A38" t="s">
        <v>25</v>
      </c>
      <c r="B38" t="s">
        <v>132</v>
      </c>
      <c r="C38">
        <v>186</v>
      </c>
      <c r="D38" s="1">
        <v>45351</v>
      </c>
      <c r="E38">
        <v>2024</v>
      </c>
      <c r="F38">
        <v>2</v>
      </c>
      <c r="G38">
        <v>215</v>
      </c>
      <c r="H38">
        <v>219.9</v>
      </c>
      <c r="I38" s="1">
        <v>45351</v>
      </c>
      <c r="J38">
        <v>128.69999999999999</v>
      </c>
      <c r="K38" s="1">
        <v>45447</v>
      </c>
      <c r="O38">
        <v>1</v>
      </c>
      <c r="P38" s="1">
        <v>45351</v>
      </c>
      <c r="Q38">
        <v>219.9</v>
      </c>
    </row>
    <row r="39" spans="1:44" x14ac:dyDescent="0.3">
      <c r="A39" t="s">
        <v>31</v>
      </c>
      <c r="B39" t="s">
        <v>133</v>
      </c>
      <c r="C39">
        <v>360</v>
      </c>
      <c r="D39" s="1">
        <v>45350</v>
      </c>
      <c r="E39">
        <v>2024</v>
      </c>
      <c r="F39">
        <v>2</v>
      </c>
      <c r="G39">
        <v>365</v>
      </c>
      <c r="H39">
        <v>538.25</v>
      </c>
      <c r="I39" s="1">
        <v>45387</v>
      </c>
      <c r="J39">
        <v>365</v>
      </c>
      <c r="K39" s="1">
        <v>45350</v>
      </c>
      <c r="O39">
        <v>1</v>
      </c>
      <c r="P39" s="1">
        <v>45350</v>
      </c>
      <c r="Q39">
        <v>401.5</v>
      </c>
      <c r="R39">
        <v>2</v>
      </c>
      <c r="S39" s="1">
        <v>45351</v>
      </c>
      <c r="T39">
        <v>441.65</v>
      </c>
      <c r="U39">
        <v>3</v>
      </c>
      <c r="V39" s="1">
        <v>45352</v>
      </c>
      <c r="W39">
        <v>482</v>
      </c>
      <c r="X39">
        <v>23</v>
      </c>
      <c r="Y39" s="1">
        <v>45372</v>
      </c>
      <c r="Z39">
        <v>517</v>
      </c>
    </row>
    <row r="40" spans="1:44" x14ac:dyDescent="0.3">
      <c r="A40" t="s">
        <v>20</v>
      </c>
      <c r="B40" t="s">
        <v>134</v>
      </c>
      <c r="C40">
        <v>1258</v>
      </c>
      <c r="D40" s="1">
        <v>45338</v>
      </c>
      <c r="E40">
        <v>2024</v>
      </c>
      <c r="F40">
        <v>2</v>
      </c>
      <c r="G40">
        <v>1228.7</v>
      </c>
      <c r="H40">
        <v>1510.9</v>
      </c>
      <c r="I40" s="1">
        <v>45546</v>
      </c>
      <c r="J40">
        <v>970</v>
      </c>
      <c r="K40" s="1">
        <v>45379</v>
      </c>
      <c r="O40">
        <v>201</v>
      </c>
      <c r="P40" s="1">
        <v>45538</v>
      </c>
      <c r="Q40">
        <v>1385</v>
      </c>
      <c r="R40">
        <v>209</v>
      </c>
      <c r="S40" s="1">
        <v>45546</v>
      </c>
      <c r="T40">
        <v>1510.9</v>
      </c>
    </row>
    <row r="41" spans="1:44" x14ac:dyDescent="0.3">
      <c r="A41" t="s">
        <v>15</v>
      </c>
      <c r="B41" t="s">
        <v>135</v>
      </c>
      <c r="C41">
        <v>468</v>
      </c>
      <c r="D41" s="1">
        <v>45336</v>
      </c>
      <c r="E41">
        <v>2024</v>
      </c>
      <c r="F41">
        <v>2</v>
      </c>
      <c r="G41">
        <v>430.25</v>
      </c>
      <c r="H41">
        <v>469</v>
      </c>
      <c r="I41" s="1">
        <v>45337</v>
      </c>
      <c r="J41">
        <v>289.55</v>
      </c>
      <c r="K41" s="1">
        <v>45520</v>
      </c>
    </row>
    <row r="42" spans="1:44" x14ac:dyDescent="0.3">
      <c r="A42" t="s">
        <v>29</v>
      </c>
      <c r="B42" t="s">
        <v>136</v>
      </c>
      <c r="C42">
        <v>414</v>
      </c>
      <c r="D42" s="1">
        <v>45336</v>
      </c>
      <c r="E42">
        <v>2024</v>
      </c>
      <c r="F42">
        <v>2</v>
      </c>
      <c r="G42">
        <v>396</v>
      </c>
      <c r="H42">
        <v>760.9</v>
      </c>
      <c r="I42" s="1">
        <v>45462</v>
      </c>
      <c r="J42">
        <v>365</v>
      </c>
      <c r="K42" s="1">
        <v>45336</v>
      </c>
      <c r="O42">
        <v>8</v>
      </c>
      <c r="P42" s="1">
        <v>45343</v>
      </c>
      <c r="Q42">
        <v>482</v>
      </c>
      <c r="R42">
        <v>72</v>
      </c>
      <c r="S42" s="1">
        <v>45407</v>
      </c>
      <c r="T42">
        <v>497</v>
      </c>
      <c r="U42">
        <v>77</v>
      </c>
      <c r="V42" s="1">
        <v>45412</v>
      </c>
      <c r="W42">
        <v>600.35</v>
      </c>
      <c r="X42">
        <v>77</v>
      </c>
      <c r="Y42" s="1">
        <v>45412</v>
      </c>
      <c r="Z42">
        <v>600.35</v>
      </c>
      <c r="AA42">
        <v>79</v>
      </c>
      <c r="AB42" s="1">
        <v>45414</v>
      </c>
      <c r="AC42">
        <v>698.75</v>
      </c>
      <c r="AD42">
        <v>79</v>
      </c>
      <c r="AE42" s="1">
        <v>45414</v>
      </c>
      <c r="AF42">
        <v>698.75</v>
      </c>
      <c r="AG42">
        <v>118</v>
      </c>
      <c r="AH42" s="1">
        <v>45453</v>
      </c>
      <c r="AI42">
        <v>740</v>
      </c>
      <c r="AJ42">
        <v>127</v>
      </c>
      <c r="AK42" s="1">
        <v>45462</v>
      </c>
      <c r="AL42">
        <v>760.9</v>
      </c>
    </row>
    <row r="43" spans="1:44" x14ac:dyDescent="0.3">
      <c r="A43" t="s">
        <v>44</v>
      </c>
      <c r="B43" t="s">
        <v>137</v>
      </c>
      <c r="C43">
        <v>311</v>
      </c>
      <c r="D43" s="1">
        <v>45336</v>
      </c>
      <c r="E43">
        <v>2024</v>
      </c>
      <c r="F43">
        <v>2</v>
      </c>
      <c r="G43">
        <v>339.5</v>
      </c>
      <c r="H43">
        <v>474.9</v>
      </c>
      <c r="I43" s="1">
        <v>45485</v>
      </c>
      <c r="J43">
        <v>282.2</v>
      </c>
      <c r="K43" s="1">
        <v>45447</v>
      </c>
      <c r="O43">
        <v>1</v>
      </c>
      <c r="P43" s="1">
        <v>45336</v>
      </c>
      <c r="Q43">
        <v>342.7</v>
      </c>
      <c r="R43">
        <v>13</v>
      </c>
      <c r="S43" s="1">
        <v>45348</v>
      </c>
      <c r="T43">
        <v>387.4</v>
      </c>
      <c r="U43">
        <v>142</v>
      </c>
      <c r="V43" s="1">
        <v>45477</v>
      </c>
      <c r="W43">
        <v>422.5</v>
      </c>
      <c r="X43">
        <v>148</v>
      </c>
      <c r="Y43" s="1">
        <v>45483</v>
      </c>
      <c r="Z43">
        <v>449</v>
      </c>
      <c r="AA43">
        <v>150</v>
      </c>
      <c r="AB43" s="1">
        <v>45485</v>
      </c>
      <c r="AC43">
        <v>474.9</v>
      </c>
    </row>
    <row r="44" spans="1:44" x14ac:dyDescent="0.3">
      <c r="A44" t="s">
        <v>6</v>
      </c>
      <c r="B44" t="s">
        <v>138</v>
      </c>
      <c r="C44">
        <v>155</v>
      </c>
      <c r="D44" s="1">
        <v>45334</v>
      </c>
      <c r="E44">
        <v>2024</v>
      </c>
      <c r="F44">
        <v>2</v>
      </c>
      <c r="G44">
        <v>186</v>
      </c>
      <c r="H44">
        <v>235</v>
      </c>
      <c r="I44" s="1">
        <v>45345</v>
      </c>
      <c r="J44">
        <v>146.5</v>
      </c>
      <c r="K44" s="1">
        <v>45447</v>
      </c>
      <c r="O44">
        <v>1</v>
      </c>
      <c r="P44" s="1">
        <v>45334</v>
      </c>
      <c r="Q44">
        <v>223.2</v>
      </c>
      <c r="R44">
        <v>1</v>
      </c>
      <c r="S44" s="1">
        <v>45334</v>
      </c>
      <c r="T44">
        <v>223.2</v>
      </c>
      <c r="U44">
        <v>1</v>
      </c>
      <c r="V44" s="1">
        <v>45334</v>
      </c>
      <c r="W44">
        <v>223.2</v>
      </c>
      <c r="X44">
        <v>1</v>
      </c>
      <c r="Y44" s="1">
        <v>45334</v>
      </c>
      <c r="Z44">
        <v>223.2</v>
      </c>
      <c r="AA44">
        <v>12</v>
      </c>
      <c r="AB44" s="1">
        <v>45345</v>
      </c>
      <c r="AC44">
        <v>235</v>
      </c>
    </row>
    <row r="45" spans="1:44" x14ac:dyDescent="0.3">
      <c r="A45" t="s">
        <v>13</v>
      </c>
      <c r="B45" t="s">
        <v>139</v>
      </c>
      <c r="C45">
        <v>135</v>
      </c>
      <c r="D45" s="1">
        <v>45328</v>
      </c>
      <c r="E45">
        <v>2024</v>
      </c>
      <c r="F45">
        <v>2</v>
      </c>
      <c r="G45">
        <v>305</v>
      </c>
      <c r="H45">
        <v>423.7</v>
      </c>
      <c r="I45" s="1">
        <v>45329</v>
      </c>
      <c r="J45">
        <v>205</v>
      </c>
      <c r="K45" s="1">
        <v>45518</v>
      </c>
      <c r="O45">
        <v>1</v>
      </c>
      <c r="P45" s="1">
        <v>45328</v>
      </c>
      <c r="Q45">
        <v>366</v>
      </c>
      <c r="R45">
        <v>1</v>
      </c>
      <c r="S45" s="1">
        <v>45328</v>
      </c>
      <c r="T45">
        <v>366</v>
      </c>
      <c r="U45">
        <v>1</v>
      </c>
      <c r="V45" s="1">
        <v>45328</v>
      </c>
      <c r="W45">
        <v>366</v>
      </c>
      <c r="X45">
        <v>1</v>
      </c>
      <c r="Y45" s="1">
        <v>45328</v>
      </c>
      <c r="Z45">
        <v>366</v>
      </c>
      <c r="AA45">
        <v>1</v>
      </c>
      <c r="AB45" s="1">
        <v>45328</v>
      </c>
      <c r="AC45">
        <v>366</v>
      </c>
      <c r="AD45">
        <v>1</v>
      </c>
      <c r="AE45" s="1">
        <v>45328</v>
      </c>
      <c r="AF45">
        <v>366</v>
      </c>
      <c r="AG45">
        <v>1</v>
      </c>
      <c r="AH45" s="1">
        <v>45328</v>
      </c>
      <c r="AI45">
        <v>366</v>
      </c>
      <c r="AJ45">
        <v>1</v>
      </c>
      <c r="AK45" s="1">
        <v>45328</v>
      </c>
      <c r="AL45">
        <v>366</v>
      </c>
      <c r="AM45">
        <v>1</v>
      </c>
      <c r="AN45" s="1">
        <v>45328</v>
      </c>
      <c r="AO45">
        <v>366</v>
      </c>
      <c r="AP45">
        <v>1</v>
      </c>
      <c r="AQ45" s="1">
        <v>45328</v>
      </c>
      <c r="AR45">
        <v>366</v>
      </c>
    </row>
    <row r="46" spans="1:44" x14ac:dyDescent="0.3">
      <c r="A46" t="s">
        <v>21</v>
      </c>
      <c r="B46" t="s">
        <v>140</v>
      </c>
      <c r="C46">
        <v>230</v>
      </c>
      <c r="D46" s="1">
        <v>45321</v>
      </c>
      <c r="E46">
        <v>2024</v>
      </c>
      <c r="F46">
        <v>1</v>
      </c>
      <c r="G46">
        <v>221</v>
      </c>
      <c r="H46">
        <v>393.75</v>
      </c>
      <c r="I46" s="1">
        <v>45553</v>
      </c>
      <c r="J46">
        <v>150.6</v>
      </c>
      <c r="K46" s="1">
        <v>45379</v>
      </c>
      <c r="O46">
        <v>149</v>
      </c>
      <c r="P46" s="1">
        <v>45469</v>
      </c>
      <c r="Q46">
        <v>255.31</v>
      </c>
      <c r="R46">
        <v>177</v>
      </c>
      <c r="S46" s="1">
        <v>45497</v>
      </c>
      <c r="T46">
        <v>277</v>
      </c>
      <c r="U46">
        <v>225</v>
      </c>
      <c r="V46" s="1">
        <v>45545</v>
      </c>
      <c r="W46">
        <v>302.7</v>
      </c>
      <c r="X46">
        <v>226</v>
      </c>
      <c r="Y46" s="1">
        <v>45546</v>
      </c>
      <c r="Z46">
        <v>328.3</v>
      </c>
      <c r="AA46">
        <v>228</v>
      </c>
      <c r="AB46" s="1">
        <v>45548</v>
      </c>
      <c r="AC46">
        <v>356.5</v>
      </c>
      <c r="AD46">
        <v>231</v>
      </c>
      <c r="AE46" s="1">
        <v>45551</v>
      </c>
      <c r="AF46">
        <v>393.15</v>
      </c>
      <c r="AG46">
        <v>231</v>
      </c>
      <c r="AH46" s="1">
        <v>45551</v>
      </c>
      <c r="AI46">
        <v>393.15</v>
      </c>
    </row>
    <row r="47" spans="1:44" x14ac:dyDescent="0.3">
      <c r="A47" t="s">
        <v>37</v>
      </c>
      <c r="B47" t="s">
        <v>141</v>
      </c>
      <c r="C47">
        <v>418</v>
      </c>
      <c r="D47" s="1">
        <v>45314</v>
      </c>
      <c r="E47">
        <v>2024</v>
      </c>
      <c r="F47">
        <v>1</v>
      </c>
      <c r="G47">
        <v>460</v>
      </c>
      <c r="H47">
        <v>716.15</v>
      </c>
      <c r="I47" s="1">
        <v>45551</v>
      </c>
      <c r="J47">
        <v>430.55</v>
      </c>
      <c r="K47" s="1">
        <v>45316</v>
      </c>
      <c r="O47">
        <v>1</v>
      </c>
      <c r="P47" s="1">
        <v>45314</v>
      </c>
      <c r="Q47">
        <v>518</v>
      </c>
      <c r="R47">
        <v>1</v>
      </c>
      <c r="S47" s="1">
        <v>45314</v>
      </c>
      <c r="T47">
        <v>518</v>
      </c>
      <c r="U47">
        <v>15</v>
      </c>
      <c r="V47" s="1">
        <v>45328</v>
      </c>
      <c r="W47">
        <v>559.75</v>
      </c>
      <c r="X47">
        <v>143</v>
      </c>
      <c r="Y47" s="1">
        <v>45456</v>
      </c>
      <c r="Z47">
        <v>586.95000000000005</v>
      </c>
      <c r="AA47">
        <v>218</v>
      </c>
      <c r="AB47" s="1">
        <v>45531</v>
      </c>
      <c r="AC47">
        <v>639</v>
      </c>
      <c r="AD47">
        <v>226</v>
      </c>
      <c r="AE47" s="1">
        <v>45539</v>
      </c>
      <c r="AF47">
        <v>698.5</v>
      </c>
      <c r="AG47">
        <v>238</v>
      </c>
      <c r="AH47" s="1">
        <v>45551</v>
      </c>
      <c r="AI47">
        <v>716.15</v>
      </c>
    </row>
    <row r="48" spans="1:44" x14ac:dyDescent="0.3">
      <c r="A48" t="s">
        <v>32</v>
      </c>
      <c r="B48" t="s">
        <v>142</v>
      </c>
      <c r="C48">
        <v>331</v>
      </c>
      <c r="D48" s="1">
        <v>45307</v>
      </c>
      <c r="E48">
        <v>2024</v>
      </c>
      <c r="F48">
        <v>1</v>
      </c>
      <c r="G48">
        <v>370</v>
      </c>
      <c r="H48">
        <v>1449.95</v>
      </c>
      <c r="I48" s="1">
        <v>45463</v>
      </c>
      <c r="J48">
        <v>368</v>
      </c>
      <c r="K48" s="1">
        <v>45307</v>
      </c>
      <c r="O48">
        <v>1</v>
      </c>
      <c r="P48" s="1">
        <v>45307</v>
      </c>
      <c r="Q48">
        <v>444</v>
      </c>
      <c r="R48">
        <v>1</v>
      </c>
      <c r="S48" s="1">
        <v>45307</v>
      </c>
      <c r="T48">
        <v>444</v>
      </c>
      <c r="U48">
        <v>1</v>
      </c>
      <c r="V48" s="1">
        <v>45307</v>
      </c>
      <c r="W48">
        <v>444</v>
      </c>
      <c r="X48">
        <v>3</v>
      </c>
      <c r="Y48" s="1">
        <v>45309</v>
      </c>
      <c r="Z48">
        <v>484</v>
      </c>
      <c r="AA48">
        <v>16</v>
      </c>
      <c r="AB48" s="1">
        <v>45322</v>
      </c>
      <c r="AC48">
        <v>553.79999999999995</v>
      </c>
      <c r="AD48">
        <v>16</v>
      </c>
      <c r="AE48" s="1">
        <v>45322</v>
      </c>
      <c r="AF48">
        <v>553.79999999999995</v>
      </c>
      <c r="AG48">
        <v>17</v>
      </c>
      <c r="AH48" s="1">
        <v>45323</v>
      </c>
      <c r="AI48">
        <v>638.79999999999995</v>
      </c>
      <c r="AJ48">
        <v>17</v>
      </c>
      <c r="AK48" s="1">
        <v>45323</v>
      </c>
      <c r="AL48">
        <v>638.79999999999995</v>
      </c>
      <c r="AM48">
        <v>17</v>
      </c>
      <c r="AN48" s="1">
        <v>45323</v>
      </c>
      <c r="AO48">
        <v>638.79999999999995</v>
      </c>
      <c r="AP48">
        <v>35</v>
      </c>
      <c r="AQ48" s="1">
        <v>45341</v>
      </c>
      <c r="AR48">
        <v>670</v>
      </c>
    </row>
    <row r="49" spans="1:44" x14ac:dyDescent="0.3">
      <c r="A49" t="s">
        <v>143</v>
      </c>
      <c r="B49" t="s">
        <v>144</v>
      </c>
      <c r="C49">
        <v>448</v>
      </c>
      <c r="D49" s="1">
        <v>45289</v>
      </c>
      <c r="E49">
        <v>2023</v>
      </c>
      <c r="F49">
        <v>12</v>
      </c>
      <c r="G49">
        <v>452.1</v>
      </c>
      <c r="H49">
        <v>841.55</v>
      </c>
      <c r="I49" s="1">
        <v>45552</v>
      </c>
      <c r="J49">
        <v>421.35</v>
      </c>
      <c r="K49" s="1">
        <v>45447</v>
      </c>
      <c r="O49">
        <v>1</v>
      </c>
      <c r="P49" s="1">
        <v>45289</v>
      </c>
      <c r="Q49">
        <v>542.5</v>
      </c>
      <c r="R49">
        <v>1</v>
      </c>
      <c r="S49" s="1">
        <v>45289</v>
      </c>
      <c r="T49">
        <v>542.5</v>
      </c>
      <c r="U49">
        <v>5</v>
      </c>
      <c r="V49" s="1">
        <v>45293</v>
      </c>
      <c r="W49">
        <v>588</v>
      </c>
      <c r="X49">
        <v>210</v>
      </c>
      <c r="Y49" s="1">
        <v>45498</v>
      </c>
      <c r="Z49">
        <v>635</v>
      </c>
      <c r="AA49">
        <v>229</v>
      </c>
      <c r="AB49" s="1">
        <v>45517</v>
      </c>
      <c r="AC49">
        <v>696.95</v>
      </c>
      <c r="AD49">
        <v>235</v>
      </c>
      <c r="AE49" s="1">
        <v>45523</v>
      </c>
      <c r="AF49">
        <v>725</v>
      </c>
      <c r="AG49">
        <v>252</v>
      </c>
      <c r="AH49" s="1">
        <v>45540</v>
      </c>
      <c r="AI49">
        <v>772.4</v>
      </c>
      <c r="AJ49">
        <v>264</v>
      </c>
      <c r="AK49" s="1">
        <v>45552</v>
      </c>
      <c r="AL49">
        <v>841.55</v>
      </c>
    </row>
    <row r="50" spans="1:44" x14ac:dyDescent="0.3">
      <c r="A50" t="s">
        <v>145</v>
      </c>
      <c r="B50" t="s">
        <v>146</v>
      </c>
      <c r="C50">
        <v>524</v>
      </c>
      <c r="D50" s="1">
        <v>45288</v>
      </c>
      <c r="E50">
        <v>2023</v>
      </c>
      <c r="F50">
        <v>12</v>
      </c>
      <c r="G50">
        <v>720</v>
      </c>
      <c r="H50">
        <v>2080</v>
      </c>
      <c r="I50" s="1">
        <v>45463</v>
      </c>
      <c r="J50">
        <v>642.4</v>
      </c>
      <c r="K50" s="1">
        <v>45308</v>
      </c>
      <c r="O50">
        <v>1</v>
      </c>
      <c r="P50" s="1">
        <v>45288</v>
      </c>
      <c r="Q50">
        <v>727</v>
      </c>
      <c r="R50">
        <v>1</v>
      </c>
      <c r="S50" s="1">
        <v>45288</v>
      </c>
      <c r="T50">
        <v>727</v>
      </c>
      <c r="U50">
        <v>1</v>
      </c>
      <c r="V50" s="1">
        <v>45288</v>
      </c>
      <c r="W50">
        <v>727</v>
      </c>
      <c r="X50">
        <v>33</v>
      </c>
      <c r="Y50" s="1">
        <v>45320</v>
      </c>
      <c r="Z50">
        <v>745.9</v>
      </c>
      <c r="AA50">
        <v>34</v>
      </c>
      <c r="AB50" s="1">
        <v>45321</v>
      </c>
      <c r="AC50">
        <v>854.3</v>
      </c>
      <c r="AD50">
        <v>34</v>
      </c>
      <c r="AE50" s="1">
        <v>45321</v>
      </c>
      <c r="AF50">
        <v>854.3</v>
      </c>
      <c r="AG50">
        <v>35</v>
      </c>
      <c r="AH50" s="1">
        <v>45322</v>
      </c>
      <c r="AI50">
        <v>1013.4</v>
      </c>
      <c r="AJ50">
        <v>35</v>
      </c>
      <c r="AK50" s="1">
        <v>45322</v>
      </c>
      <c r="AL50">
        <v>1013.4</v>
      </c>
      <c r="AM50">
        <v>35</v>
      </c>
      <c r="AN50" s="1">
        <v>45322</v>
      </c>
      <c r="AO50">
        <v>1013.4</v>
      </c>
      <c r="AP50">
        <v>50</v>
      </c>
      <c r="AQ50" s="1">
        <v>45337</v>
      </c>
      <c r="AR50">
        <v>1100</v>
      </c>
    </row>
    <row r="51" spans="1:44" x14ac:dyDescent="0.3">
      <c r="A51" t="s">
        <v>147</v>
      </c>
      <c r="B51" t="s">
        <v>148</v>
      </c>
      <c r="C51">
        <v>850</v>
      </c>
      <c r="D51" s="1">
        <v>45287</v>
      </c>
      <c r="E51">
        <v>2023</v>
      </c>
      <c r="F51">
        <v>12</v>
      </c>
      <c r="G51">
        <v>1000</v>
      </c>
      <c r="H51">
        <v>1299.95</v>
      </c>
      <c r="I51" s="1">
        <v>45477</v>
      </c>
      <c r="J51">
        <v>813.2</v>
      </c>
      <c r="K51" s="1">
        <v>45369</v>
      </c>
      <c r="O51">
        <v>1</v>
      </c>
      <c r="P51" s="1">
        <v>45287</v>
      </c>
      <c r="Q51">
        <v>1087.4000000000001</v>
      </c>
      <c r="R51">
        <v>1</v>
      </c>
      <c r="S51" s="1">
        <v>45287</v>
      </c>
      <c r="T51">
        <v>1087.4000000000001</v>
      </c>
      <c r="U51">
        <v>149</v>
      </c>
      <c r="V51" s="1">
        <v>45435</v>
      </c>
      <c r="W51">
        <v>1117.8</v>
      </c>
      <c r="X51">
        <v>163</v>
      </c>
      <c r="Y51" s="1">
        <v>45449</v>
      </c>
      <c r="Z51">
        <v>1199</v>
      </c>
      <c r="AA51">
        <v>190</v>
      </c>
      <c r="AB51" s="1">
        <v>45476</v>
      </c>
      <c r="AC51">
        <v>1282</v>
      </c>
    </row>
    <row r="52" spans="1:44" x14ac:dyDescent="0.3">
      <c r="A52" t="s">
        <v>149</v>
      </c>
      <c r="B52" t="s">
        <v>150</v>
      </c>
      <c r="C52">
        <v>280</v>
      </c>
      <c r="D52" s="1">
        <v>45287</v>
      </c>
      <c r="E52">
        <v>2023</v>
      </c>
      <c r="F52">
        <v>12</v>
      </c>
      <c r="G52">
        <v>282.35000000000002</v>
      </c>
      <c r="H52">
        <v>324.8</v>
      </c>
      <c r="I52" s="1">
        <v>45287</v>
      </c>
      <c r="J52">
        <v>145.19999999999999</v>
      </c>
      <c r="K52" s="1">
        <v>45447</v>
      </c>
      <c r="O52">
        <v>1</v>
      </c>
      <c r="P52" s="1">
        <v>45287</v>
      </c>
      <c r="Q52">
        <v>324.8</v>
      </c>
    </row>
    <row r="53" spans="1:44" x14ac:dyDescent="0.3">
      <c r="A53" t="s">
        <v>151</v>
      </c>
      <c r="B53" t="s">
        <v>152</v>
      </c>
      <c r="C53">
        <v>291</v>
      </c>
      <c r="D53" s="1">
        <v>45286</v>
      </c>
      <c r="E53">
        <v>2023</v>
      </c>
      <c r="F53">
        <v>12</v>
      </c>
      <c r="G53">
        <v>275.3</v>
      </c>
      <c r="H53">
        <v>281</v>
      </c>
      <c r="I53" s="1">
        <v>45286</v>
      </c>
      <c r="J53">
        <v>196.6</v>
      </c>
      <c r="K53" s="1">
        <v>45364</v>
      </c>
    </row>
    <row r="54" spans="1:44" x14ac:dyDescent="0.3">
      <c r="A54" t="s">
        <v>153</v>
      </c>
      <c r="B54" t="s">
        <v>154</v>
      </c>
      <c r="C54">
        <v>360</v>
      </c>
      <c r="D54" s="1">
        <v>45286</v>
      </c>
      <c r="E54">
        <v>2023</v>
      </c>
      <c r="F54">
        <v>12</v>
      </c>
      <c r="G54">
        <v>340</v>
      </c>
      <c r="H54">
        <v>692</v>
      </c>
      <c r="I54" s="1">
        <v>45481</v>
      </c>
      <c r="J54">
        <v>255.8</v>
      </c>
      <c r="K54" s="1">
        <v>45378</v>
      </c>
      <c r="O54">
        <v>127</v>
      </c>
      <c r="P54" s="1">
        <v>45412</v>
      </c>
      <c r="Q54">
        <v>402</v>
      </c>
      <c r="R54">
        <v>133</v>
      </c>
      <c r="S54" s="1">
        <v>45418</v>
      </c>
      <c r="T54">
        <v>438</v>
      </c>
      <c r="U54">
        <v>184</v>
      </c>
      <c r="V54" s="1">
        <v>45469</v>
      </c>
      <c r="W54">
        <v>487.3</v>
      </c>
      <c r="X54">
        <v>186</v>
      </c>
      <c r="Y54" s="1">
        <v>45471</v>
      </c>
      <c r="Z54">
        <v>505.65</v>
      </c>
      <c r="AA54">
        <v>191</v>
      </c>
      <c r="AB54" s="1">
        <v>45476</v>
      </c>
      <c r="AC54">
        <v>589.95000000000005</v>
      </c>
      <c r="AD54">
        <v>191</v>
      </c>
      <c r="AE54" s="1">
        <v>45476</v>
      </c>
      <c r="AF54">
        <v>589.95000000000005</v>
      </c>
      <c r="AG54">
        <v>192</v>
      </c>
      <c r="AH54" s="1">
        <v>45477</v>
      </c>
      <c r="AI54">
        <v>629.79999999999995</v>
      </c>
      <c r="AJ54">
        <v>196</v>
      </c>
      <c r="AK54" s="1">
        <v>45481</v>
      </c>
      <c r="AL54">
        <v>692</v>
      </c>
      <c r="AM54">
        <v>196</v>
      </c>
      <c r="AN54" s="1">
        <v>45481</v>
      </c>
      <c r="AO54">
        <v>692</v>
      </c>
    </row>
    <row r="55" spans="1:44" x14ac:dyDescent="0.3">
      <c r="A55" t="s">
        <v>155</v>
      </c>
      <c r="B55" t="s">
        <v>156</v>
      </c>
      <c r="C55">
        <v>660</v>
      </c>
      <c r="D55" s="1">
        <v>45281</v>
      </c>
      <c r="E55">
        <v>2023</v>
      </c>
      <c r="F55">
        <v>12</v>
      </c>
      <c r="G55">
        <v>949.65</v>
      </c>
      <c r="H55">
        <v>1506.9</v>
      </c>
      <c r="I55" s="1">
        <v>45481</v>
      </c>
      <c r="J55">
        <v>801.55</v>
      </c>
      <c r="K55" s="1">
        <v>45315</v>
      </c>
      <c r="O55">
        <v>1</v>
      </c>
      <c r="P55" s="1">
        <v>45281</v>
      </c>
      <c r="Q55">
        <v>990</v>
      </c>
      <c r="R55">
        <v>1</v>
      </c>
      <c r="S55" s="1">
        <v>45281</v>
      </c>
      <c r="T55">
        <v>990</v>
      </c>
      <c r="U55">
        <v>1</v>
      </c>
      <c r="V55" s="1">
        <v>45281</v>
      </c>
      <c r="W55">
        <v>990</v>
      </c>
      <c r="X55">
        <v>1</v>
      </c>
      <c r="Y55" s="1">
        <v>45281</v>
      </c>
      <c r="Z55">
        <v>990</v>
      </c>
      <c r="AA55">
        <v>1</v>
      </c>
      <c r="AB55" s="1">
        <v>45281</v>
      </c>
      <c r="AC55">
        <v>990</v>
      </c>
      <c r="AD55">
        <v>49</v>
      </c>
      <c r="AE55" s="1">
        <v>45329</v>
      </c>
      <c r="AF55">
        <v>1086.95</v>
      </c>
      <c r="AG55">
        <v>57</v>
      </c>
      <c r="AH55" s="1">
        <v>45337</v>
      </c>
      <c r="AI55">
        <v>1199.8</v>
      </c>
      <c r="AJ55">
        <v>57</v>
      </c>
      <c r="AK55" s="1">
        <v>45337</v>
      </c>
      <c r="AL55">
        <v>1199.8</v>
      </c>
      <c r="AM55">
        <v>65</v>
      </c>
      <c r="AN55" s="1">
        <v>45345</v>
      </c>
      <c r="AO55">
        <v>1294</v>
      </c>
      <c r="AP55">
        <v>68</v>
      </c>
      <c r="AQ55" s="1">
        <v>45348</v>
      </c>
      <c r="AR55">
        <v>1323</v>
      </c>
    </row>
    <row r="56" spans="1:44" x14ac:dyDescent="0.3">
      <c r="A56" t="s">
        <v>157</v>
      </c>
      <c r="B56" t="s">
        <v>158</v>
      </c>
      <c r="C56">
        <v>790</v>
      </c>
      <c r="D56" s="1">
        <v>45280</v>
      </c>
      <c r="E56">
        <v>2023</v>
      </c>
      <c r="F56">
        <v>12</v>
      </c>
      <c r="G56">
        <v>1400</v>
      </c>
      <c r="H56">
        <v>2975</v>
      </c>
      <c r="I56" s="1">
        <v>45552</v>
      </c>
      <c r="J56">
        <v>1225.5999999999999</v>
      </c>
      <c r="K56" s="1">
        <v>45281</v>
      </c>
      <c r="O56">
        <v>1</v>
      </c>
      <c r="P56" s="1">
        <v>45280</v>
      </c>
      <c r="Q56">
        <v>1434</v>
      </c>
      <c r="R56">
        <v>1</v>
      </c>
      <c r="S56" s="1">
        <v>45280</v>
      </c>
      <c r="T56">
        <v>1434</v>
      </c>
      <c r="U56">
        <v>1</v>
      </c>
      <c r="V56" s="1">
        <v>45280</v>
      </c>
      <c r="W56">
        <v>1434</v>
      </c>
      <c r="X56">
        <v>1</v>
      </c>
      <c r="Y56" s="1">
        <v>45280</v>
      </c>
      <c r="Z56">
        <v>1434</v>
      </c>
      <c r="AA56">
        <v>1</v>
      </c>
      <c r="AB56" s="1">
        <v>45280</v>
      </c>
      <c r="AC56">
        <v>1434</v>
      </c>
      <c r="AD56">
        <v>1</v>
      </c>
      <c r="AE56" s="1">
        <v>45280</v>
      </c>
      <c r="AF56">
        <v>1434</v>
      </c>
      <c r="AG56">
        <v>1</v>
      </c>
      <c r="AH56" s="1">
        <v>45280</v>
      </c>
      <c r="AI56">
        <v>1434</v>
      </c>
      <c r="AJ56">
        <v>1</v>
      </c>
      <c r="AK56" s="1">
        <v>45280</v>
      </c>
      <c r="AL56">
        <v>1434</v>
      </c>
      <c r="AM56">
        <v>23</v>
      </c>
      <c r="AN56" s="1">
        <v>45302</v>
      </c>
      <c r="AO56">
        <v>1537.35</v>
      </c>
      <c r="AP56">
        <v>52</v>
      </c>
      <c r="AQ56" s="1">
        <v>45331</v>
      </c>
      <c r="AR56">
        <v>1644.5</v>
      </c>
    </row>
    <row r="57" spans="1:44" x14ac:dyDescent="0.3">
      <c r="A57" t="s">
        <v>159</v>
      </c>
      <c r="B57" t="s">
        <v>160</v>
      </c>
      <c r="C57">
        <v>493</v>
      </c>
      <c r="D57" s="1">
        <v>45280</v>
      </c>
      <c r="E57">
        <v>2023</v>
      </c>
      <c r="F57">
        <v>12</v>
      </c>
      <c r="G57">
        <v>620</v>
      </c>
      <c r="H57">
        <v>799</v>
      </c>
      <c r="I57" s="1">
        <v>45548</v>
      </c>
      <c r="J57">
        <v>519.15</v>
      </c>
      <c r="K57" s="1">
        <v>45288</v>
      </c>
      <c r="O57">
        <v>1</v>
      </c>
      <c r="P57" s="1">
        <v>45280</v>
      </c>
      <c r="Q57">
        <v>630</v>
      </c>
      <c r="R57">
        <v>1</v>
      </c>
      <c r="S57" s="1">
        <v>45280</v>
      </c>
      <c r="T57">
        <v>630</v>
      </c>
      <c r="U57">
        <v>45</v>
      </c>
      <c r="V57" s="1">
        <v>45324</v>
      </c>
      <c r="W57">
        <v>725.1</v>
      </c>
      <c r="X57">
        <v>45</v>
      </c>
      <c r="Y57" s="1">
        <v>45324</v>
      </c>
      <c r="Z57">
        <v>725.1</v>
      </c>
      <c r="AA57">
        <v>183</v>
      </c>
      <c r="AB57" s="1">
        <v>45462</v>
      </c>
      <c r="AC57">
        <v>746.15</v>
      </c>
      <c r="AD57">
        <v>244</v>
      </c>
      <c r="AE57" s="1">
        <v>45523</v>
      </c>
      <c r="AF57">
        <v>793</v>
      </c>
    </row>
    <row r="58" spans="1:44" x14ac:dyDescent="0.3">
      <c r="A58" t="s">
        <v>161</v>
      </c>
      <c r="B58" t="s">
        <v>162</v>
      </c>
      <c r="C58">
        <v>304</v>
      </c>
      <c r="D58" s="1">
        <v>45261</v>
      </c>
      <c r="E58">
        <v>2023</v>
      </c>
      <c r="F58">
        <v>12</v>
      </c>
      <c r="G58">
        <v>501</v>
      </c>
      <c r="H58">
        <v>514.4</v>
      </c>
      <c r="I58" s="1">
        <v>45261</v>
      </c>
      <c r="J58">
        <v>246.1</v>
      </c>
      <c r="K58" s="1">
        <v>45365</v>
      </c>
      <c r="O58">
        <v>1</v>
      </c>
      <c r="P58" s="1">
        <v>45261</v>
      </c>
      <c r="Q58">
        <v>514.4</v>
      </c>
      <c r="R58">
        <v>1</v>
      </c>
      <c r="S58" s="1">
        <v>45261</v>
      </c>
      <c r="T58">
        <v>514.4</v>
      </c>
      <c r="U58">
        <v>1</v>
      </c>
      <c r="V58" s="1">
        <v>45261</v>
      </c>
      <c r="W58">
        <v>514.4</v>
      </c>
      <c r="X58">
        <v>1</v>
      </c>
      <c r="Y58" s="1">
        <v>45261</v>
      </c>
      <c r="Z58">
        <v>514.4</v>
      </c>
      <c r="AA58">
        <v>1</v>
      </c>
      <c r="AB58" s="1">
        <v>45261</v>
      </c>
      <c r="AC58">
        <v>514.4</v>
      </c>
      <c r="AD58">
        <v>1</v>
      </c>
      <c r="AE58" s="1">
        <v>45261</v>
      </c>
      <c r="AF58">
        <v>514.4</v>
      </c>
    </row>
    <row r="59" spans="1:44" x14ac:dyDescent="0.3">
      <c r="A59" t="s">
        <v>163</v>
      </c>
      <c r="B59" t="s">
        <v>164</v>
      </c>
      <c r="C59">
        <v>500</v>
      </c>
      <c r="D59" s="1">
        <v>45260</v>
      </c>
      <c r="E59">
        <v>2023</v>
      </c>
      <c r="F59">
        <v>11</v>
      </c>
      <c r="G59">
        <v>1200</v>
      </c>
      <c r="H59">
        <v>1400</v>
      </c>
      <c r="I59" s="1">
        <v>45260</v>
      </c>
      <c r="J59">
        <v>970.1</v>
      </c>
      <c r="K59" s="1">
        <v>45509</v>
      </c>
      <c r="O59">
        <v>1</v>
      </c>
      <c r="P59" s="1">
        <v>45260</v>
      </c>
      <c r="Q59">
        <v>1400</v>
      </c>
      <c r="R59">
        <v>1</v>
      </c>
      <c r="S59" s="1">
        <v>45260</v>
      </c>
      <c r="T59">
        <v>1400</v>
      </c>
      <c r="U59">
        <v>1</v>
      </c>
      <c r="V59" s="1">
        <v>45260</v>
      </c>
      <c r="W59">
        <v>1400</v>
      </c>
      <c r="X59">
        <v>1</v>
      </c>
      <c r="Y59" s="1">
        <v>45260</v>
      </c>
      <c r="Z59">
        <v>1400</v>
      </c>
      <c r="AA59">
        <v>1</v>
      </c>
      <c r="AB59" s="1">
        <v>45260</v>
      </c>
      <c r="AC59">
        <v>1400</v>
      </c>
      <c r="AD59">
        <v>1</v>
      </c>
      <c r="AE59" s="1">
        <v>45260</v>
      </c>
      <c r="AF59">
        <v>1400</v>
      </c>
      <c r="AG59">
        <v>1</v>
      </c>
      <c r="AH59" s="1">
        <v>45260</v>
      </c>
      <c r="AI59">
        <v>1400</v>
      </c>
      <c r="AJ59">
        <v>1</v>
      </c>
      <c r="AK59" s="1">
        <v>45260</v>
      </c>
      <c r="AL59">
        <v>1400</v>
      </c>
      <c r="AM59">
        <v>1</v>
      </c>
      <c r="AN59" s="1">
        <v>45260</v>
      </c>
      <c r="AO59">
        <v>1400</v>
      </c>
      <c r="AP59">
        <v>1</v>
      </c>
      <c r="AQ59" s="1">
        <v>45260</v>
      </c>
      <c r="AR59">
        <v>1400</v>
      </c>
    </row>
    <row r="60" spans="1:44" x14ac:dyDescent="0.3">
      <c r="A60" t="s">
        <v>165</v>
      </c>
      <c r="B60" t="s">
        <v>166</v>
      </c>
      <c r="C60">
        <v>169</v>
      </c>
      <c r="D60" s="1">
        <v>45260</v>
      </c>
      <c r="E60">
        <v>2023</v>
      </c>
      <c r="F60">
        <v>11</v>
      </c>
      <c r="G60">
        <v>298</v>
      </c>
      <c r="H60">
        <v>344.05</v>
      </c>
      <c r="I60" s="1">
        <v>45260</v>
      </c>
      <c r="J60">
        <v>182.45</v>
      </c>
      <c r="K60" s="1">
        <v>45447</v>
      </c>
      <c r="O60">
        <v>1</v>
      </c>
      <c r="P60" s="1">
        <v>45260</v>
      </c>
      <c r="Q60">
        <v>344.05</v>
      </c>
      <c r="R60">
        <v>1</v>
      </c>
      <c r="S60" s="1">
        <v>45260</v>
      </c>
      <c r="T60">
        <v>344.05</v>
      </c>
      <c r="U60">
        <v>1</v>
      </c>
      <c r="V60" s="1">
        <v>45260</v>
      </c>
      <c r="W60">
        <v>344.05</v>
      </c>
      <c r="X60">
        <v>1</v>
      </c>
      <c r="Y60" s="1">
        <v>45260</v>
      </c>
      <c r="Z60">
        <v>344.05</v>
      </c>
      <c r="AA60">
        <v>1</v>
      </c>
      <c r="AB60" s="1">
        <v>45260</v>
      </c>
      <c r="AC60">
        <v>344.05</v>
      </c>
      <c r="AD60">
        <v>1</v>
      </c>
      <c r="AE60" s="1">
        <v>45260</v>
      </c>
      <c r="AF60">
        <v>344.05</v>
      </c>
      <c r="AG60">
        <v>1</v>
      </c>
      <c r="AH60" s="1">
        <v>45260</v>
      </c>
      <c r="AI60">
        <v>344.05</v>
      </c>
      <c r="AJ60">
        <v>1</v>
      </c>
      <c r="AK60" s="1">
        <v>45260</v>
      </c>
      <c r="AL60">
        <v>344.05</v>
      </c>
      <c r="AM60">
        <v>1</v>
      </c>
      <c r="AN60" s="1">
        <v>45260</v>
      </c>
      <c r="AO60">
        <v>344.05</v>
      </c>
      <c r="AP60">
        <v>1</v>
      </c>
      <c r="AQ60" s="1">
        <v>45260</v>
      </c>
      <c r="AR60">
        <v>344.05</v>
      </c>
    </row>
    <row r="61" spans="1:44" x14ac:dyDescent="0.3">
      <c r="A61" t="s">
        <v>167</v>
      </c>
      <c r="B61" t="s">
        <v>168</v>
      </c>
      <c r="C61">
        <v>140</v>
      </c>
      <c r="D61" s="1">
        <v>45260</v>
      </c>
      <c r="E61">
        <v>2023</v>
      </c>
      <c r="F61">
        <v>11</v>
      </c>
      <c r="G61">
        <v>138</v>
      </c>
      <c r="H61">
        <v>153.6</v>
      </c>
      <c r="I61" s="1">
        <v>45275</v>
      </c>
      <c r="J61">
        <v>108.75</v>
      </c>
      <c r="K61" s="1">
        <v>45364</v>
      </c>
    </row>
    <row r="62" spans="1:44" x14ac:dyDescent="0.3">
      <c r="A62" t="s">
        <v>169</v>
      </c>
      <c r="B62" t="s">
        <v>170</v>
      </c>
      <c r="C62">
        <v>282</v>
      </c>
      <c r="D62" s="1">
        <v>45245</v>
      </c>
      <c r="E62">
        <v>2023</v>
      </c>
      <c r="F62">
        <v>11</v>
      </c>
      <c r="G62">
        <v>303.3</v>
      </c>
      <c r="H62">
        <v>478.25</v>
      </c>
      <c r="I62" s="1">
        <v>45551</v>
      </c>
      <c r="J62">
        <v>240.1</v>
      </c>
      <c r="K62" s="1">
        <v>45364</v>
      </c>
      <c r="O62">
        <v>1</v>
      </c>
      <c r="P62" s="1">
        <v>45245</v>
      </c>
      <c r="Q62">
        <v>316.7</v>
      </c>
      <c r="R62">
        <v>212</v>
      </c>
      <c r="S62" s="1">
        <v>45456</v>
      </c>
      <c r="T62">
        <v>346.8</v>
      </c>
      <c r="U62">
        <v>219</v>
      </c>
      <c r="V62" s="1">
        <v>45463</v>
      </c>
      <c r="W62">
        <v>371.8</v>
      </c>
      <c r="X62">
        <v>232</v>
      </c>
      <c r="Y62" s="1">
        <v>45476</v>
      </c>
      <c r="Z62">
        <v>400.1</v>
      </c>
      <c r="AA62">
        <v>258</v>
      </c>
      <c r="AB62" s="1">
        <v>45502</v>
      </c>
      <c r="AC62">
        <v>433.8</v>
      </c>
      <c r="AD62">
        <v>288</v>
      </c>
      <c r="AE62" s="1">
        <v>45532</v>
      </c>
      <c r="AF62">
        <v>474.8</v>
      </c>
    </row>
    <row r="63" spans="1:44" x14ac:dyDescent="0.3">
      <c r="A63" t="s">
        <v>171</v>
      </c>
      <c r="B63" t="s">
        <v>172</v>
      </c>
      <c r="C63">
        <v>60</v>
      </c>
      <c r="D63" s="1">
        <v>45240</v>
      </c>
      <c r="E63">
        <v>2023</v>
      </c>
      <c r="F63">
        <v>11</v>
      </c>
      <c r="G63">
        <v>71</v>
      </c>
      <c r="H63">
        <v>82.4</v>
      </c>
      <c r="I63" s="1">
        <v>45330</v>
      </c>
      <c r="J63">
        <v>48.88</v>
      </c>
      <c r="K63" s="1">
        <v>45544</v>
      </c>
      <c r="O63">
        <v>1</v>
      </c>
      <c r="P63" s="1">
        <v>45240</v>
      </c>
      <c r="Q63">
        <v>74.8</v>
      </c>
      <c r="R63">
        <v>1</v>
      </c>
      <c r="S63" s="1">
        <v>45240</v>
      </c>
      <c r="T63">
        <v>74.8</v>
      </c>
      <c r="U63">
        <v>90</v>
      </c>
      <c r="V63" s="1">
        <v>45329</v>
      </c>
      <c r="W63">
        <v>81.2</v>
      </c>
    </row>
    <row r="64" spans="1:44" x14ac:dyDescent="0.3">
      <c r="A64" t="s">
        <v>173</v>
      </c>
      <c r="B64" t="s">
        <v>174</v>
      </c>
      <c r="C64">
        <v>324</v>
      </c>
      <c r="D64" s="1">
        <v>45237</v>
      </c>
      <c r="E64">
        <v>2023</v>
      </c>
      <c r="F64">
        <v>11</v>
      </c>
      <c r="G64">
        <v>330</v>
      </c>
      <c r="H64">
        <v>547</v>
      </c>
      <c r="I64" s="1">
        <v>45545</v>
      </c>
      <c r="J64">
        <v>256.3</v>
      </c>
      <c r="K64" s="1">
        <v>45240</v>
      </c>
      <c r="O64">
        <v>14</v>
      </c>
      <c r="P64" s="1">
        <v>45250</v>
      </c>
      <c r="Q64">
        <v>374.95</v>
      </c>
      <c r="R64">
        <v>17</v>
      </c>
      <c r="S64" s="1">
        <v>45253</v>
      </c>
      <c r="T64">
        <v>423.75</v>
      </c>
      <c r="U64">
        <v>17</v>
      </c>
      <c r="V64" s="1">
        <v>45253</v>
      </c>
      <c r="W64">
        <v>423.75</v>
      </c>
      <c r="X64">
        <v>18</v>
      </c>
      <c r="Y64" s="1">
        <v>45254</v>
      </c>
      <c r="Z64">
        <v>486.15</v>
      </c>
      <c r="AA64">
        <v>18</v>
      </c>
      <c r="AB64" s="1">
        <v>45254</v>
      </c>
      <c r="AC64">
        <v>486.15</v>
      </c>
      <c r="AD64">
        <v>294</v>
      </c>
      <c r="AE64" s="1">
        <v>45530</v>
      </c>
      <c r="AF64">
        <v>537.9</v>
      </c>
    </row>
    <row r="65" spans="1:45" x14ac:dyDescent="0.3">
      <c r="A65" t="s">
        <v>175</v>
      </c>
      <c r="B65" t="s">
        <v>176</v>
      </c>
      <c r="C65">
        <v>648</v>
      </c>
      <c r="D65" s="1">
        <v>45236</v>
      </c>
      <c r="E65">
        <v>2023</v>
      </c>
      <c r="F65">
        <v>11</v>
      </c>
      <c r="G65">
        <v>829</v>
      </c>
      <c r="H65">
        <v>1025</v>
      </c>
      <c r="I65" s="1">
        <v>45477</v>
      </c>
      <c r="J65">
        <v>711.2</v>
      </c>
      <c r="K65" s="1">
        <v>45365</v>
      </c>
      <c r="O65">
        <v>1</v>
      </c>
      <c r="P65" s="1">
        <v>45236</v>
      </c>
      <c r="Q65">
        <v>837.4</v>
      </c>
      <c r="R65">
        <v>1</v>
      </c>
      <c r="S65" s="1">
        <v>45236</v>
      </c>
      <c r="T65">
        <v>837.4</v>
      </c>
      <c r="U65">
        <v>60</v>
      </c>
      <c r="V65" s="1">
        <v>45295</v>
      </c>
      <c r="W65">
        <v>875</v>
      </c>
      <c r="X65">
        <v>67</v>
      </c>
      <c r="Y65" s="1">
        <v>45302</v>
      </c>
      <c r="Z65">
        <v>920</v>
      </c>
      <c r="AA65">
        <v>242</v>
      </c>
      <c r="AB65" s="1">
        <v>45477</v>
      </c>
      <c r="AC65">
        <v>1025</v>
      </c>
    </row>
    <row r="66" spans="1:45" x14ac:dyDescent="0.3">
      <c r="A66" t="s">
        <v>177</v>
      </c>
      <c r="B66" t="s">
        <v>178</v>
      </c>
      <c r="C66">
        <v>346</v>
      </c>
      <c r="D66" s="1">
        <v>45231</v>
      </c>
      <c r="E66">
        <v>2023</v>
      </c>
      <c r="F66">
        <v>11</v>
      </c>
      <c r="G66">
        <v>380</v>
      </c>
      <c r="H66">
        <v>547</v>
      </c>
      <c r="I66" s="1">
        <v>45552</v>
      </c>
      <c r="J66">
        <v>319.5</v>
      </c>
      <c r="K66" s="1">
        <v>45272</v>
      </c>
      <c r="O66">
        <v>1</v>
      </c>
      <c r="P66" s="1">
        <v>45231</v>
      </c>
      <c r="Q66">
        <v>417.95</v>
      </c>
      <c r="R66">
        <v>1</v>
      </c>
      <c r="S66" s="1">
        <v>45231</v>
      </c>
      <c r="T66">
        <v>417.95</v>
      </c>
      <c r="U66">
        <v>266</v>
      </c>
      <c r="V66" s="1">
        <v>45496</v>
      </c>
      <c r="W66">
        <v>455</v>
      </c>
      <c r="X66">
        <v>275</v>
      </c>
      <c r="Y66" s="1">
        <v>45505</v>
      </c>
      <c r="Z66">
        <v>515</v>
      </c>
      <c r="AA66">
        <v>279</v>
      </c>
      <c r="AB66" s="1">
        <v>45509</v>
      </c>
      <c r="AC66">
        <v>530</v>
      </c>
    </row>
    <row r="67" spans="1:45" x14ac:dyDescent="0.3">
      <c r="A67" t="s">
        <v>179</v>
      </c>
      <c r="B67" t="s">
        <v>180</v>
      </c>
      <c r="C67">
        <v>505</v>
      </c>
      <c r="D67" s="1">
        <v>45225</v>
      </c>
      <c r="E67">
        <v>2023</v>
      </c>
      <c r="F67">
        <v>10</v>
      </c>
      <c r="G67">
        <v>477.25</v>
      </c>
      <c r="H67">
        <v>641</v>
      </c>
      <c r="I67" s="1">
        <v>45404</v>
      </c>
      <c r="J67">
        <v>404</v>
      </c>
      <c r="K67" s="1">
        <v>45520</v>
      </c>
      <c r="O67">
        <v>63</v>
      </c>
      <c r="P67" s="1">
        <v>45287</v>
      </c>
      <c r="Q67">
        <v>564.29999999999995</v>
      </c>
      <c r="R67">
        <v>99</v>
      </c>
      <c r="S67" s="1">
        <v>45323</v>
      </c>
      <c r="T67">
        <v>615</v>
      </c>
    </row>
    <row r="68" spans="1:45" x14ac:dyDescent="0.3">
      <c r="A68" t="s">
        <v>181</v>
      </c>
      <c r="B68" t="s">
        <v>182</v>
      </c>
      <c r="C68">
        <v>300</v>
      </c>
      <c r="D68" s="1">
        <v>45203</v>
      </c>
      <c r="E68">
        <v>2023</v>
      </c>
      <c r="F68">
        <v>10</v>
      </c>
      <c r="G68">
        <v>285</v>
      </c>
      <c r="H68">
        <v>404.8</v>
      </c>
      <c r="I68" s="1">
        <v>45548</v>
      </c>
      <c r="J68">
        <v>235.3</v>
      </c>
      <c r="K68" s="1">
        <v>45224</v>
      </c>
      <c r="O68">
        <v>80</v>
      </c>
      <c r="P68" s="1">
        <v>45282</v>
      </c>
      <c r="Q68">
        <v>362.25</v>
      </c>
      <c r="R68">
        <v>80</v>
      </c>
      <c r="S68" s="1">
        <v>45282</v>
      </c>
      <c r="T68">
        <v>362.25</v>
      </c>
      <c r="U68">
        <v>343</v>
      </c>
      <c r="V68" s="1">
        <v>45545</v>
      </c>
      <c r="W68">
        <v>396.6</v>
      </c>
    </row>
    <row r="69" spans="1:45" x14ac:dyDescent="0.3">
      <c r="A69" t="s">
        <v>183</v>
      </c>
      <c r="B69" t="s">
        <v>184</v>
      </c>
      <c r="C69">
        <v>119</v>
      </c>
      <c r="D69" s="1">
        <v>45202</v>
      </c>
      <c r="E69">
        <v>2023</v>
      </c>
      <c r="F69">
        <v>10</v>
      </c>
      <c r="G69">
        <v>143</v>
      </c>
      <c r="H69">
        <v>360.95</v>
      </c>
      <c r="I69" s="1">
        <v>45477</v>
      </c>
      <c r="J69">
        <v>142.19999999999999</v>
      </c>
      <c r="K69" s="1">
        <v>45202</v>
      </c>
      <c r="O69">
        <v>1</v>
      </c>
      <c r="P69" s="1">
        <v>45202</v>
      </c>
      <c r="Q69">
        <v>157.30000000000001</v>
      </c>
      <c r="R69">
        <v>1</v>
      </c>
      <c r="S69" s="1">
        <v>45202</v>
      </c>
      <c r="T69">
        <v>157.30000000000001</v>
      </c>
      <c r="U69">
        <v>1</v>
      </c>
      <c r="V69" s="1">
        <v>45202</v>
      </c>
      <c r="W69">
        <v>157.30000000000001</v>
      </c>
      <c r="X69">
        <v>2</v>
      </c>
      <c r="Y69" s="1">
        <v>45203</v>
      </c>
      <c r="Z69">
        <v>168.7</v>
      </c>
      <c r="AA69">
        <v>16</v>
      </c>
      <c r="AB69" s="1">
        <v>45217</v>
      </c>
      <c r="AC69">
        <v>186.35</v>
      </c>
      <c r="AD69">
        <v>36</v>
      </c>
      <c r="AE69" s="1">
        <v>45237</v>
      </c>
      <c r="AF69">
        <v>207.1</v>
      </c>
      <c r="AG69">
        <v>36</v>
      </c>
      <c r="AH69" s="1">
        <v>45237</v>
      </c>
      <c r="AI69">
        <v>207.1</v>
      </c>
      <c r="AJ69">
        <v>37</v>
      </c>
      <c r="AK69" s="1">
        <v>45238</v>
      </c>
      <c r="AL69">
        <v>215.45</v>
      </c>
      <c r="AM69">
        <v>63</v>
      </c>
      <c r="AN69" s="1">
        <v>45264</v>
      </c>
      <c r="AO69">
        <v>227.6</v>
      </c>
      <c r="AP69">
        <v>65</v>
      </c>
      <c r="AQ69" s="1">
        <v>45266</v>
      </c>
      <c r="AR69">
        <v>244.9</v>
      </c>
    </row>
    <row r="70" spans="1:45" x14ac:dyDescent="0.3">
      <c r="A70" t="s">
        <v>185</v>
      </c>
      <c r="B70" t="s">
        <v>186</v>
      </c>
      <c r="C70">
        <v>215</v>
      </c>
      <c r="D70" s="1">
        <v>45202</v>
      </c>
      <c r="E70">
        <v>2023</v>
      </c>
      <c r="F70">
        <v>10</v>
      </c>
      <c r="G70">
        <v>215</v>
      </c>
      <c r="H70">
        <v>382</v>
      </c>
      <c r="I70" s="1">
        <v>45251</v>
      </c>
      <c r="J70">
        <v>165</v>
      </c>
      <c r="K70" s="1">
        <v>45369</v>
      </c>
      <c r="O70">
        <v>7</v>
      </c>
      <c r="P70" s="1">
        <v>45208</v>
      </c>
      <c r="Q70">
        <v>244.35</v>
      </c>
      <c r="R70">
        <v>10</v>
      </c>
      <c r="S70" s="1">
        <v>45211</v>
      </c>
      <c r="T70">
        <v>280.8</v>
      </c>
      <c r="U70">
        <v>10</v>
      </c>
      <c r="V70" s="1">
        <v>45211</v>
      </c>
      <c r="W70">
        <v>280.8</v>
      </c>
      <c r="X70">
        <v>37</v>
      </c>
      <c r="Y70" s="1">
        <v>45238</v>
      </c>
      <c r="Z70">
        <v>308.5</v>
      </c>
      <c r="AA70">
        <v>42</v>
      </c>
      <c r="AB70" s="1">
        <v>45243</v>
      </c>
      <c r="AC70">
        <v>335</v>
      </c>
      <c r="AD70">
        <v>49</v>
      </c>
      <c r="AE70" s="1">
        <v>45250</v>
      </c>
      <c r="AF70">
        <v>379.65</v>
      </c>
      <c r="AG70">
        <v>49</v>
      </c>
      <c r="AH70" s="1">
        <v>45250</v>
      </c>
      <c r="AI70">
        <v>379.65</v>
      </c>
    </row>
    <row r="71" spans="1:45" x14ac:dyDescent="0.3">
      <c r="A71" t="s">
        <v>187</v>
      </c>
      <c r="B71" t="s">
        <v>188</v>
      </c>
      <c r="C71">
        <v>385</v>
      </c>
      <c r="D71" s="1">
        <v>45196</v>
      </c>
      <c r="E71">
        <v>2023</v>
      </c>
      <c r="F71">
        <v>9</v>
      </c>
      <c r="G71">
        <v>444</v>
      </c>
      <c r="H71">
        <v>1575</v>
      </c>
      <c r="I71" s="1">
        <v>45503</v>
      </c>
      <c r="J71">
        <v>444</v>
      </c>
      <c r="K71" s="1">
        <v>45196</v>
      </c>
      <c r="O71">
        <v>1</v>
      </c>
      <c r="P71" s="1">
        <v>45196</v>
      </c>
      <c r="Q71">
        <v>474</v>
      </c>
      <c r="R71">
        <v>1</v>
      </c>
      <c r="S71" s="1">
        <v>45196</v>
      </c>
      <c r="T71">
        <v>474</v>
      </c>
      <c r="U71">
        <v>10</v>
      </c>
      <c r="V71" s="1">
        <v>45205</v>
      </c>
      <c r="W71">
        <v>503.45</v>
      </c>
      <c r="X71">
        <v>24</v>
      </c>
      <c r="Y71" s="1">
        <v>45219</v>
      </c>
      <c r="Z71">
        <v>560</v>
      </c>
      <c r="AA71">
        <v>35</v>
      </c>
      <c r="AB71" s="1">
        <v>45230</v>
      </c>
      <c r="AC71">
        <v>584.70000000000005</v>
      </c>
      <c r="AD71">
        <v>41</v>
      </c>
      <c r="AE71" s="1">
        <v>45236</v>
      </c>
      <c r="AF71">
        <v>627</v>
      </c>
      <c r="AG71">
        <v>42</v>
      </c>
      <c r="AH71" s="1">
        <v>45237</v>
      </c>
      <c r="AI71">
        <v>662.25</v>
      </c>
      <c r="AJ71">
        <v>48</v>
      </c>
      <c r="AK71" s="1">
        <v>45243</v>
      </c>
      <c r="AL71">
        <v>707</v>
      </c>
      <c r="AM71">
        <v>50</v>
      </c>
      <c r="AN71" s="1">
        <v>45245</v>
      </c>
      <c r="AO71">
        <v>740</v>
      </c>
      <c r="AP71">
        <v>57</v>
      </c>
      <c r="AQ71" s="1">
        <v>45252</v>
      </c>
      <c r="AR71">
        <v>770.9</v>
      </c>
    </row>
    <row r="72" spans="1:45" x14ac:dyDescent="0.3">
      <c r="A72" t="s">
        <v>189</v>
      </c>
      <c r="B72" t="s">
        <v>190</v>
      </c>
      <c r="C72">
        <v>222</v>
      </c>
      <c r="D72" s="1">
        <v>45196</v>
      </c>
      <c r="E72">
        <v>2023</v>
      </c>
      <c r="F72">
        <v>9</v>
      </c>
      <c r="G72">
        <v>231</v>
      </c>
      <c r="H72">
        <v>312</v>
      </c>
      <c r="I72" s="1">
        <v>45258</v>
      </c>
      <c r="J72">
        <v>143.91999999999999</v>
      </c>
      <c r="K72" s="1">
        <v>45520</v>
      </c>
      <c r="O72">
        <v>1</v>
      </c>
      <c r="P72" s="1">
        <v>45196</v>
      </c>
      <c r="Q72">
        <v>247</v>
      </c>
      <c r="R72">
        <v>22</v>
      </c>
      <c r="S72" s="1">
        <v>45217</v>
      </c>
      <c r="T72">
        <v>272.55</v>
      </c>
      <c r="U72">
        <v>55</v>
      </c>
      <c r="V72" s="1">
        <v>45250</v>
      </c>
      <c r="W72">
        <v>294.10000000000002</v>
      </c>
      <c r="X72">
        <v>63</v>
      </c>
      <c r="Y72" s="1">
        <v>45258</v>
      </c>
      <c r="Z72">
        <v>312</v>
      </c>
    </row>
    <row r="73" spans="1:45" x14ac:dyDescent="0.3">
      <c r="A73" t="s">
        <v>191</v>
      </c>
      <c r="B73" t="s">
        <v>192</v>
      </c>
      <c r="C73">
        <v>142</v>
      </c>
      <c r="D73" s="1">
        <v>45197</v>
      </c>
      <c r="E73">
        <v>2023</v>
      </c>
      <c r="F73">
        <v>9</v>
      </c>
      <c r="AS73" t="s">
        <v>118</v>
      </c>
    </row>
    <row r="74" spans="1:45" x14ac:dyDescent="0.3">
      <c r="A74" t="s">
        <v>193</v>
      </c>
      <c r="B74" t="s">
        <v>194</v>
      </c>
      <c r="C74">
        <v>164</v>
      </c>
      <c r="D74" s="1">
        <v>45191</v>
      </c>
      <c r="E74">
        <v>2023</v>
      </c>
      <c r="F74">
        <v>9</v>
      </c>
      <c r="G74">
        <v>164</v>
      </c>
      <c r="H74">
        <v>493.25</v>
      </c>
      <c r="I74" s="1">
        <v>45552</v>
      </c>
      <c r="J74">
        <v>155.30000000000001</v>
      </c>
      <c r="K74" s="1">
        <v>45191</v>
      </c>
      <c r="O74">
        <v>5</v>
      </c>
      <c r="P74" s="1">
        <v>45195</v>
      </c>
      <c r="Q74">
        <v>183.4</v>
      </c>
      <c r="R74">
        <v>8</v>
      </c>
      <c r="S74" s="1">
        <v>45198</v>
      </c>
      <c r="T74">
        <v>209.7</v>
      </c>
      <c r="U74">
        <v>15</v>
      </c>
      <c r="V74" s="1">
        <v>45205</v>
      </c>
      <c r="W74">
        <v>222.4</v>
      </c>
      <c r="X74">
        <v>22</v>
      </c>
      <c r="Y74" s="1">
        <v>45212</v>
      </c>
      <c r="Z74">
        <v>247.8</v>
      </c>
      <c r="AA74">
        <v>22</v>
      </c>
      <c r="AB74" s="1">
        <v>45212</v>
      </c>
      <c r="AC74">
        <v>247.8</v>
      </c>
      <c r="AD74">
        <v>53</v>
      </c>
      <c r="AE74" s="1">
        <v>45243</v>
      </c>
      <c r="AF74">
        <v>264</v>
      </c>
      <c r="AG74">
        <v>140</v>
      </c>
      <c r="AH74" s="1">
        <v>45330</v>
      </c>
      <c r="AI74">
        <v>283</v>
      </c>
      <c r="AJ74">
        <v>152</v>
      </c>
      <c r="AK74" s="1">
        <v>45342</v>
      </c>
      <c r="AL74">
        <v>298.85000000000002</v>
      </c>
      <c r="AM74">
        <v>158</v>
      </c>
      <c r="AN74" s="1">
        <v>45348</v>
      </c>
      <c r="AO74">
        <v>344.25</v>
      </c>
      <c r="AP74">
        <v>158</v>
      </c>
      <c r="AQ74" s="1">
        <v>45348</v>
      </c>
      <c r="AR74">
        <v>344.25</v>
      </c>
    </row>
    <row r="75" spans="1:45" x14ac:dyDescent="0.3">
      <c r="A75" t="s">
        <v>195</v>
      </c>
      <c r="B75" t="s">
        <v>196</v>
      </c>
      <c r="C75">
        <v>126</v>
      </c>
      <c r="D75" s="1">
        <v>45191</v>
      </c>
      <c r="E75">
        <v>2023</v>
      </c>
      <c r="F75">
        <v>9</v>
      </c>
      <c r="G75">
        <v>134.5</v>
      </c>
      <c r="H75">
        <v>237.85</v>
      </c>
      <c r="I75" s="1">
        <v>45349</v>
      </c>
      <c r="J75">
        <v>127.25</v>
      </c>
      <c r="K75" s="1">
        <v>45191</v>
      </c>
      <c r="O75">
        <v>1</v>
      </c>
      <c r="P75" s="1">
        <v>45191</v>
      </c>
      <c r="Q75">
        <v>146.6</v>
      </c>
      <c r="R75">
        <v>4</v>
      </c>
      <c r="S75" s="1">
        <v>45194</v>
      </c>
      <c r="T75">
        <v>153.35</v>
      </c>
      <c r="U75">
        <v>14</v>
      </c>
      <c r="V75" s="1">
        <v>45204</v>
      </c>
      <c r="W75">
        <v>170.85</v>
      </c>
      <c r="X75">
        <v>64</v>
      </c>
      <c r="Y75" s="1">
        <v>45254</v>
      </c>
      <c r="Z75">
        <v>178.8</v>
      </c>
      <c r="AA75">
        <v>112</v>
      </c>
      <c r="AB75" s="1">
        <v>45302</v>
      </c>
      <c r="AC75">
        <v>194.5</v>
      </c>
      <c r="AD75">
        <v>134</v>
      </c>
      <c r="AE75" s="1">
        <v>45324</v>
      </c>
      <c r="AF75">
        <v>207</v>
      </c>
      <c r="AG75">
        <v>154</v>
      </c>
      <c r="AH75" s="1">
        <v>45344</v>
      </c>
      <c r="AI75">
        <v>222.6</v>
      </c>
      <c r="AJ75">
        <v>155</v>
      </c>
      <c r="AK75" s="1">
        <v>45345</v>
      </c>
      <c r="AL75">
        <v>231.75</v>
      </c>
    </row>
    <row r="76" spans="1:45" x14ac:dyDescent="0.3">
      <c r="A76" t="s">
        <v>197</v>
      </c>
      <c r="B76" t="s">
        <v>198</v>
      </c>
      <c r="C76">
        <v>1035</v>
      </c>
      <c r="D76" s="1">
        <v>45189</v>
      </c>
      <c r="E76">
        <v>2023</v>
      </c>
      <c r="F76">
        <v>9</v>
      </c>
      <c r="G76">
        <v>1180</v>
      </c>
      <c r="H76">
        <v>1901.95</v>
      </c>
      <c r="I76" s="1">
        <v>45439</v>
      </c>
      <c r="J76">
        <v>1136.8</v>
      </c>
      <c r="K76" s="1">
        <v>45189</v>
      </c>
      <c r="O76">
        <v>1</v>
      </c>
      <c r="P76" s="1">
        <v>45189</v>
      </c>
      <c r="Q76">
        <v>1212.7</v>
      </c>
      <c r="R76">
        <v>10</v>
      </c>
      <c r="S76" s="1">
        <v>45198</v>
      </c>
      <c r="T76">
        <v>1426.8</v>
      </c>
      <c r="U76">
        <v>10</v>
      </c>
      <c r="V76" s="1">
        <v>45198</v>
      </c>
      <c r="W76">
        <v>1426.8</v>
      </c>
      <c r="X76">
        <v>14</v>
      </c>
      <c r="Y76" s="1">
        <v>45202</v>
      </c>
      <c r="Z76">
        <v>1456.6</v>
      </c>
      <c r="AA76">
        <v>50</v>
      </c>
      <c r="AB76" s="1">
        <v>45238</v>
      </c>
      <c r="AC76">
        <v>1628.75</v>
      </c>
      <c r="AD76">
        <v>52</v>
      </c>
      <c r="AE76" s="1">
        <v>45240</v>
      </c>
      <c r="AF76">
        <v>1660</v>
      </c>
      <c r="AG76">
        <v>63</v>
      </c>
      <c r="AH76" s="1">
        <v>45251</v>
      </c>
      <c r="AI76">
        <v>1809</v>
      </c>
      <c r="AJ76">
        <v>251</v>
      </c>
      <c r="AK76" s="1">
        <v>45439</v>
      </c>
      <c r="AL76">
        <v>1901.95</v>
      </c>
    </row>
    <row r="77" spans="1:45" x14ac:dyDescent="0.3">
      <c r="A77" t="s">
        <v>199</v>
      </c>
      <c r="B77" t="s">
        <v>200</v>
      </c>
      <c r="C77">
        <v>211</v>
      </c>
      <c r="D77" s="1">
        <v>45190</v>
      </c>
      <c r="E77">
        <v>2023</v>
      </c>
      <c r="F77">
        <v>9</v>
      </c>
      <c r="G77">
        <v>282.05</v>
      </c>
      <c r="H77">
        <v>935</v>
      </c>
      <c r="I77" s="1">
        <v>45517</v>
      </c>
      <c r="J77">
        <v>246.5</v>
      </c>
      <c r="K77" s="1">
        <v>45196</v>
      </c>
      <c r="O77">
        <v>1</v>
      </c>
      <c r="P77" s="1">
        <v>45190</v>
      </c>
      <c r="Q77">
        <v>291</v>
      </c>
      <c r="R77">
        <v>1</v>
      </c>
      <c r="S77" s="1">
        <v>45190</v>
      </c>
      <c r="T77">
        <v>291</v>
      </c>
      <c r="U77">
        <v>1</v>
      </c>
      <c r="V77" s="1">
        <v>45190</v>
      </c>
      <c r="W77">
        <v>291</v>
      </c>
      <c r="X77">
        <v>15</v>
      </c>
      <c r="Y77" s="1">
        <v>45204</v>
      </c>
      <c r="Z77">
        <v>304.39999999999998</v>
      </c>
      <c r="AA77">
        <v>16</v>
      </c>
      <c r="AB77" s="1">
        <v>45205</v>
      </c>
      <c r="AC77">
        <v>333.4</v>
      </c>
      <c r="AD77">
        <v>49</v>
      </c>
      <c r="AE77" s="1">
        <v>45238</v>
      </c>
      <c r="AF77">
        <v>355</v>
      </c>
      <c r="AG77">
        <v>50</v>
      </c>
      <c r="AH77" s="1">
        <v>45239</v>
      </c>
      <c r="AI77">
        <v>361.8</v>
      </c>
      <c r="AJ77">
        <v>54</v>
      </c>
      <c r="AK77" s="1">
        <v>45243</v>
      </c>
      <c r="AL77">
        <v>383.05</v>
      </c>
      <c r="AM77">
        <v>56</v>
      </c>
      <c r="AN77" s="1">
        <v>45245</v>
      </c>
      <c r="AO77">
        <v>417.45</v>
      </c>
      <c r="AP77">
        <v>57</v>
      </c>
      <c r="AQ77" s="1">
        <v>45246</v>
      </c>
      <c r="AR77">
        <v>438.3</v>
      </c>
    </row>
    <row r="78" spans="1:45" x14ac:dyDescent="0.3">
      <c r="A78" t="s">
        <v>201</v>
      </c>
      <c r="B78" t="s">
        <v>202</v>
      </c>
      <c r="C78">
        <v>735</v>
      </c>
      <c r="D78" s="1">
        <v>45187</v>
      </c>
      <c r="E78">
        <v>2023</v>
      </c>
      <c r="F78">
        <v>9</v>
      </c>
      <c r="G78">
        <v>973</v>
      </c>
      <c r="H78">
        <v>1653.95</v>
      </c>
      <c r="I78" s="1">
        <v>45345</v>
      </c>
      <c r="J78">
        <v>970</v>
      </c>
      <c r="K78" s="1">
        <v>45187</v>
      </c>
      <c r="O78">
        <v>1</v>
      </c>
      <c r="P78" s="1">
        <v>45187</v>
      </c>
      <c r="Q78">
        <v>1108.95</v>
      </c>
      <c r="R78">
        <v>1</v>
      </c>
      <c r="S78" s="1">
        <v>45187</v>
      </c>
      <c r="T78">
        <v>1108.95</v>
      </c>
      <c r="U78">
        <v>1</v>
      </c>
      <c r="V78" s="1">
        <v>45187</v>
      </c>
      <c r="W78">
        <v>1108.95</v>
      </c>
      <c r="X78">
        <v>1</v>
      </c>
      <c r="Y78" s="1">
        <v>45187</v>
      </c>
      <c r="Z78">
        <v>1108.95</v>
      </c>
      <c r="AA78">
        <v>1</v>
      </c>
      <c r="AB78" s="1">
        <v>45187</v>
      </c>
      <c r="AC78">
        <v>1108.95</v>
      </c>
      <c r="AD78">
        <v>82</v>
      </c>
      <c r="AE78" s="1">
        <v>45268</v>
      </c>
      <c r="AF78">
        <v>1221</v>
      </c>
      <c r="AG78">
        <v>151</v>
      </c>
      <c r="AH78" s="1">
        <v>45337</v>
      </c>
      <c r="AI78">
        <v>1261.45</v>
      </c>
      <c r="AJ78">
        <v>155</v>
      </c>
      <c r="AK78" s="1">
        <v>45341</v>
      </c>
      <c r="AL78">
        <v>1475</v>
      </c>
      <c r="AM78">
        <v>155</v>
      </c>
      <c r="AN78" s="1">
        <v>45341</v>
      </c>
      <c r="AO78">
        <v>1475</v>
      </c>
      <c r="AP78">
        <v>155</v>
      </c>
      <c r="AQ78" s="1">
        <v>45341</v>
      </c>
      <c r="AR78">
        <v>1475</v>
      </c>
    </row>
    <row r="79" spans="1:45" x14ac:dyDescent="0.3">
      <c r="A79" t="s">
        <v>203</v>
      </c>
      <c r="B79" t="s">
        <v>204</v>
      </c>
      <c r="C79">
        <v>441</v>
      </c>
      <c r="D79" s="1">
        <v>45180</v>
      </c>
      <c r="E79">
        <v>2023</v>
      </c>
      <c r="F79">
        <v>9</v>
      </c>
      <c r="G79">
        <v>460.05</v>
      </c>
      <c r="H79">
        <v>635.4</v>
      </c>
      <c r="I79" s="1">
        <v>45324</v>
      </c>
      <c r="J79">
        <v>363.95</v>
      </c>
      <c r="K79" s="1">
        <v>45546</v>
      </c>
      <c r="O79">
        <v>17</v>
      </c>
      <c r="P79" s="1">
        <v>45196</v>
      </c>
      <c r="Q79">
        <v>486.9</v>
      </c>
      <c r="R79">
        <v>26</v>
      </c>
      <c r="S79" s="1">
        <v>45205</v>
      </c>
      <c r="T79">
        <v>555</v>
      </c>
      <c r="U79">
        <v>99</v>
      </c>
      <c r="V79" s="1">
        <v>45278</v>
      </c>
      <c r="W79">
        <v>587.95000000000005</v>
      </c>
      <c r="X79">
        <v>144</v>
      </c>
      <c r="Y79" s="1">
        <v>45323</v>
      </c>
      <c r="Z79">
        <v>628.70000000000005</v>
      </c>
    </row>
    <row r="80" spans="1:45" x14ac:dyDescent="0.3">
      <c r="A80" t="s">
        <v>205</v>
      </c>
      <c r="B80" t="s">
        <v>206</v>
      </c>
      <c r="C80">
        <v>99</v>
      </c>
      <c r="D80" s="1">
        <v>45174</v>
      </c>
      <c r="E80">
        <v>2023</v>
      </c>
      <c r="F80">
        <v>9</v>
      </c>
      <c r="G80">
        <v>165</v>
      </c>
      <c r="H80">
        <v>297</v>
      </c>
      <c r="I80" s="1">
        <v>45516</v>
      </c>
      <c r="J80">
        <v>141</v>
      </c>
      <c r="K80" s="1">
        <v>45365</v>
      </c>
      <c r="O80">
        <v>1</v>
      </c>
      <c r="P80" s="1">
        <v>45174</v>
      </c>
      <c r="Q80">
        <v>165</v>
      </c>
      <c r="R80">
        <v>1</v>
      </c>
      <c r="S80" s="1">
        <v>45174</v>
      </c>
      <c r="T80">
        <v>165</v>
      </c>
      <c r="U80">
        <v>1</v>
      </c>
      <c r="V80" s="1">
        <v>45174</v>
      </c>
      <c r="W80">
        <v>165</v>
      </c>
      <c r="X80">
        <v>1</v>
      </c>
      <c r="Y80" s="1">
        <v>45174</v>
      </c>
      <c r="Z80">
        <v>165</v>
      </c>
      <c r="AA80">
        <v>1</v>
      </c>
      <c r="AB80" s="1">
        <v>45174</v>
      </c>
      <c r="AC80">
        <v>165</v>
      </c>
      <c r="AD80">
        <v>1</v>
      </c>
      <c r="AE80" s="1">
        <v>45174</v>
      </c>
      <c r="AF80">
        <v>165</v>
      </c>
      <c r="AG80">
        <v>2</v>
      </c>
      <c r="AH80" s="1">
        <v>45175</v>
      </c>
      <c r="AI80">
        <v>173.3</v>
      </c>
      <c r="AJ80">
        <v>11</v>
      </c>
      <c r="AK80" s="1">
        <v>45184</v>
      </c>
      <c r="AL80">
        <v>187.5</v>
      </c>
      <c r="AM80">
        <v>22</v>
      </c>
      <c r="AN80" s="1">
        <v>45195</v>
      </c>
      <c r="AO80">
        <v>189.2</v>
      </c>
      <c r="AP80">
        <v>37</v>
      </c>
      <c r="AQ80" s="1">
        <v>45210</v>
      </c>
      <c r="AR80">
        <v>201.8</v>
      </c>
    </row>
    <row r="81" spans="1:45" x14ac:dyDescent="0.3">
      <c r="A81" t="s">
        <v>207</v>
      </c>
      <c r="B81" t="s">
        <v>208</v>
      </c>
      <c r="C81">
        <v>108</v>
      </c>
      <c r="D81" s="1">
        <v>45169</v>
      </c>
      <c r="E81">
        <v>2023</v>
      </c>
      <c r="F81">
        <v>8</v>
      </c>
      <c r="G81">
        <v>190</v>
      </c>
      <c r="H81">
        <v>209.9</v>
      </c>
      <c r="I81" s="1">
        <v>45546</v>
      </c>
      <c r="J81">
        <v>115</v>
      </c>
      <c r="K81" s="1">
        <v>45364</v>
      </c>
      <c r="O81">
        <v>1</v>
      </c>
      <c r="P81" s="1">
        <v>45169</v>
      </c>
      <c r="Q81">
        <v>196.35</v>
      </c>
      <c r="R81">
        <v>1</v>
      </c>
      <c r="S81" s="1">
        <v>45169</v>
      </c>
      <c r="T81">
        <v>196.35</v>
      </c>
      <c r="U81">
        <v>1</v>
      </c>
      <c r="V81" s="1">
        <v>45169</v>
      </c>
      <c r="W81">
        <v>196.35</v>
      </c>
      <c r="X81">
        <v>1</v>
      </c>
      <c r="Y81" s="1">
        <v>45169</v>
      </c>
      <c r="Z81">
        <v>196.35</v>
      </c>
      <c r="AA81">
        <v>1</v>
      </c>
      <c r="AB81" s="1">
        <v>45169</v>
      </c>
      <c r="AC81">
        <v>196.35</v>
      </c>
      <c r="AD81">
        <v>1</v>
      </c>
      <c r="AE81" s="1">
        <v>45169</v>
      </c>
      <c r="AF81">
        <v>196.35</v>
      </c>
      <c r="AG81">
        <v>1</v>
      </c>
      <c r="AH81" s="1">
        <v>45169</v>
      </c>
      <c r="AI81">
        <v>196.35</v>
      </c>
      <c r="AJ81">
        <v>1</v>
      </c>
      <c r="AK81" s="1">
        <v>45169</v>
      </c>
      <c r="AL81">
        <v>196.35</v>
      </c>
      <c r="AM81">
        <v>378</v>
      </c>
      <c r="AN81" s="1">
        <v>45546</v>
      </c>
      <c r="AO81">
        <v>209.9</v>
      </c>
    </row>
    <row r="82" spans="1:45" x14ac:dyDescent="0.3">
      <c r="A82" t="s">
        <v>209</v>
      </c>
      <c r="B82" t="s">
        <v>210</v>
      </c>
      <c r="C82">
        <v>197</v>
      </c>
      <c r="D82" s="1">
        <v>45161</v>
      </c>
      <c r="E82">
        <v>2023</v>
      </c>
      <c r="F82">
        <v>8</v>
      </c>
      <c r="G82">
        <v>207.05</v>
      </c>
      <c r="H82">
        <v>258</v>
      </c>
      <c r="I82" s="1">
        <v>45180</v>
      </c>
      <c r="J82">
        <v>145</v>
      </c>
      <c r="K82" s="1">
        <v>45364</v>
      </c>
      <c r="O82">
        <v>16</v>
      </c>
      <c r="P82" s="1">
        <v>45176</v>
      </c>
      <c r="Q82">
        <v>232.95</v>
      </c>
      <c r="R82">
        <v>17</v>
      </c>
      <c r="S82" s="1">
        <v>45177</v>
      </c>
      <c r="T82">
        <v>241.45</v>
      </c>
      <c r="U82">
        <v>20</v>
      </c>
      <c r="V82" s="1">
        <v>45180</v>
      </c>
      <c r="W82">
        <v>258</v>
      </c>
    </row>
    <row r="83" spans="1:45" x14ac:dyDescent="0.3">
      <c r="A83" t="s">
        <v>211</v>
      </c>
      <c r="B83" t="s">
        <v>212</v>
      </c>
      <c r="C83">
        <v>741</v>
      </c>
      <c r="D83" s="1">
        <v>45156</v>
      </c>
      <c r="E83">
        <v>2023</v>
      </c>
      <c r="F83">
        <v>8</v>
      </c>
      <c r="G83">
        <v>900.05</v>
      </c>
      <c r="H83">
        <v>2332.1999999999998</v>
      </c>
      <c r="I83" s="1">
        <v>45553</v>
      </c>
      <c r="J83">
        <v>900.05</v>
      </c>
      <c r="K83" s="1">
        <v>45156</v>
      </c>
      <c r="O83">
        <v>1</v>
      </c>
      <c r="P83" s="1">
        <v>45156</v>
      </c>
      <c r="Q83">
        <v>987.7</v>
      </c>
      <c r="R83">
        <v>1</v>
      </c>
      <c r="S83" s="1">
        <v>45156</v>
      </c>
      <c r="T83">
        <v>987.7</v>
      </c>
      <c r="U83">
        <v>1</v>
      </c>
      <c r="V83" s="1">
        <v>45156</v>
      </c>
      <c r="W83">
        <v>987.7</v>
      </c>
      <c r="X83">
        <v>20</v>
      </c>
      <c r="Y83" s="1">
        <v>45175</v>
      </c>
      <c r="Z83">
        <v>1075</v>
      </c>
      <c r="AA83">
        <v>47</v>
      </c>
      <c r="AB83" s="1">
        <v>45202</v>
      </c>
      <c r="AC83">
        <v>1114.95</v>
      </c>
      <c r="AD83">
        <v>60</v>
      </c>
      <c r="AE83" s="1">
        <v>45215</v>
      </c>
      <c r="AF83">
        <v>1203.95</v>
      </c>
      <c r="AG83">
        <v>83</v>
      </c>
      <c r="AH83" s="1">
        <v>45238</v>
      </c>
      <c r="AI83">
        <v>1379.8</v>
      </c>
      <c r="AJ83">
        <v>83</v>
      </c>
      <c r="AK83" s="1">
        <v>45238</v>
      </c>
      <c r="AL83">
        <v>1379.8</v>
      </c>
      <c r="AM83">
        <v>123</v>
      </c>
      <c r="AN83" s="1">
        <v>45278</v>
      </c>
      <c r="AO83">
        <v>1416.85</v>
      </c>
      <c r="AP83">
        <v>127</v>
      </c>
      <c r="AQ83" s="1">
        <v>45282</v>
      </c>
      <c r="AR83">
        <v>1539.9</v>
      </c>
    </row>
    <row r="84" spans="1:45" x14ac:dyDescent="0.3">
      <c r="A84" t="s">
        <v>213</v>
      </c>
      <c r="B84" t="s">
        <v>214</v>
      </c>
      <c r="C84">
        <v>57</v>
      </c>
      <c r="D84" s="1">
        <v>45154</v>
      </c>
      <c r="E84">
        <v>2023</v>
      </c>
      <c r="F84">
        <v>8</v>
      </c>
      <c r="AS84" t="s">
        <v>118</v>
      </c>
    </row>
    <row r="85" spans="1:45" x14ac:dyDescent="0.3">
      <c r="A85" t="s">
        <v>215</v>
      </c>
      <c r="B85" t="s">
        <v>216</v>
      </c>
      <c r="C85">
        <v>300</v>
      </c>
      <c r="D85" s="1">
        <v>45145</v>
      </c>
      <c r="E85">
        <v>2023</v>
      </c>
      <c r="F85">
        <v>8</v>
      </c>
      <c r="G85">
        <v>306.10000000000002</v>
      </c>
      <c r="H85">
        <v>597</v>
      </c>
      <c r="I85" s="1">
        <v>45548</v>
      </c>
      <c r="J85">
        <v>306.10000000000002</v>
      </c>
      <c r="K85" s="1">
        <v>45145</v>
      </c>
      <c r="O85">
        <v>1</v>
      </c>
      <c r="P85" s="1">
        <v>45145</v>
      </c>
      <c r="Q85">
        <v>343.1</v>
      </c>
      <c r="R85">
        <v>2</v>
      </c>
      <c r="S85" s="1">
        <v>45146</v>
      </c>
      <c r="T85">
        <v>361.9</v>
      </c>
      <c r="U85">
        <v>17</v>
      </c>
      <c r="V85" s="1">
        <v>45161</v>
      </c>
      <c r="W85">
        <v>391</v>
      </c>
      <c r="X85">
        <v>66</v>
      </c>
      <c r="Y85" s="1">
        <v>45210</v>
      </c>
      <c r="Z85">
        <v>426.95</v>
      </c>
      <c r="AA85">
        <v>190</v>
      </c>
      <c r="AB85" s="1">
        <v>45334</v>
      </c>
      <c r="AC85">
        <v>459.4</v>
      </c>
      <c r="AD85">
        <v>194</v>
      </c>
      <c r="AE85" s="1">
        <v>45338</v>
      </c>
      <c r="AF85">
        <v>496</v>
      </c>
      <c r="AG85">
        <v>382</v>
      </c>
      <c r="AH85" s="1">
        <v>45526</v>
      </c>
      <c r="AI85">
        <v>513.4</v>
      </c>
      <c r="AJ85">
        <v>387</v>
      </c>
      <c r="AK85" s="1">
        <v>45531</v>
      </c>
      <c r="AL85">
        <v>543.95000000000005</v>
      </c>
      <c r="AM85">
        <v>403</v>
      </c>
      <c r="AN85" s="1">
        <v>45547</v>
      </c>
      <c r="AO85">
        <v>572.29999999999995</v>
      </c>
    </row>
    <row r="86" spans="1:45" x14ac:dyDescent="0.3">
      <c r="A86" t="s">
        <v>217</v>
      </c>
      <c r="B86" t="s">
        <v>218</v>
      </c>
      <c r="C86">
        <v>500</v>
      </c>
      <c r="D86" s="1">
        <v>45134</v>
      </c>
      <c r="E86">
        <v>2023</v>
      </c>
      <c r="F86">
        <v>7</v>
      </c>
      <c r="G86">
        <v>947</v>
      </c>
      <c r="H86">
        <v>2925</v>
      </c>
      <c r="I86" s="1">
        <v>45537</v>
      </c>
      <c r="J86">
        <v>738.6</v>
      </c>
      <c r="K86" s="1">
        <v>45225</v>
      </c>
      <c r="O86">
        <v>1</v>
      </c>
      <c r="P86" s="1">
        <v>45134</v>
      </c>
      <c r="Q86">
        <v>952</v>
      </c>
      <c r="R86">
        <v>1</v>
      </c>
      <c r="S86" s="1">
        <v>45134</v>
      </c>
      <c r="T86">
        <v>952</v>
      </c>
      <c r="U86">
        <v>1</v>
      </c>
      <c r="V86" s="1">
        <v>45134</v>
      </c>
      <c r="W86">
        <v>952</v>
      </c>
      <c r="X86">
        <v>1</v>
      </c>
      <c r="Y86" s="1">
        <v>45134</v>
      </c>
      <c r="Z86">
        <v>952</v>
      </c>
      <c r="AA86">
        <v>1</v>
      </c>
      <c r="AB86" s="1">
        <v>45134</v>
      </c>
      <c r="AC86">
        <v>952</v>
      </c>
      <c r="AD86">
        <v>1</v>
      </c>
      <c r="AE86" s="1">
        <v>45134</v>
      </c>
      <c r="AF86">
        <v>952</v>
      </c>
      <c r="AG86">
        <v>1</v>
      </c>
      <c r="AH86" s="1">
        <v>45134</v>
      </c>
      <c r="AI86">
        <v>952</v>
      </c>
      <c r="AJ86">
        <v>1</v>
      </c>
      <c r="AK86" s="1">
        <v>45134</v>
      </c>
      <c r="AL86">
        <v>952</v>
      </c>
      <c r="AM86">
        <v>1</v>
      </c>
      <c r="AN86" s="1">
        <v>45134</v>
      </c>
      <c r="AO86">
        <v>952</v>
      </c>
      <c r="AP86">
        <v>134</v>
      </c>
      <c r="AQ86" s="1">
        <v>45267</v>
      </c>
      <c r="AR86">
        <v>1020</v>
      </c>
    </row>
    <row r="87" spans="1:45" x14ac:dyDescent="0.3">
      <c r="A87" t="s">
        <v>219</v>
      </c>
      <c r="B87" t="s">
        <v>220</v>
      </c>
      <c r="C87">
        <v>25</v>
      </c>
      <c r="D87" s="1">
        <v>45128</v>
      </c>
      <c r="E87">
        <v>2023</v>
      </c>
      <c r="F87">
        <v>7</v>
      </c>
      <c r="G87">
        <v>40</v>
      </c>
      <c r="H87">
        <v>68.3</v>
      </c>
      <c r="I87" s="1">
        <v>45330</v>
      </c>
      <c r="J87">
        <v>37.200000000000003</v>
      </c>
      <c r="K87" s="1">
        <v>45128</v>
      </c>
      <c r="O87">
        <v>1</v>
      </c>
      <c r="P87" s="1">
        <v>45128</v>
      </c>
      <c r="Q87">
        <v>48</v>
      </c>
      <c r="R87">
        <v>1</v>
      </c>
      <c r="S87" s="1">
        <v>45128</v>
      </c>
      <c r="T87">
        <v>48</v>
      </c>
      <c r="U87">
        <v>1</v>
      </c>
      <c r="V87" s="1">
        <v>45128</v>
      </c>
      <c r="W87">
        <v>48</v>
      </c>
      <c r="X87">
        <v>1</v>
      </c>
      <c r="Y87" s="1">
        <v>45128</v>
      </c>
      <c r="Z87">
        <v>48</v>
      </c>
      <c r="AA87">
        <v>1</v>
      </c>
      <c r="AB87" s="1">
        <v>45128</v>
      </c>
      <c r="AC87">
        <v>48</v>
      </c>
      <c r="AD87">
        <v>1</v>
      </c>
      <c r="AE87" s="1">
        <v>45128</v>
      </c>
      <c r="AF87">
        <v>48</v>
      </c>
      <c r="AG87">
        <v>1</v>
      </c>
      <c r="AH87" s="1">
        <v>45128</v>
      </c>
      <c r="AI87">
        <v>48</v>
      </c>
      <c r="AJ87">
        <v>1</v>
      </c>
      <c r="AK87" s="1">
        <v>45128</v>
      </c>
      <c r="AL87">
        <v>48</v>
      </c>
      <c r="AM87">
        <v>1</v>
      </c>
      <c r="AN87" s="1">
        <v>45128</v>
      </c>
      <c r="AO87">
        <v>48</v>
      </c>
      <c r="AP87">
        <v>4</v>
      </c>
      <c r="AQ87" s="1">
        <v>45131</v>
      </c>
      <c r="AR87">
        <v>56.3</v>
      </c>
    </row>
    <row r="88" spans="1:45" x14ac:dyDescent="0.3">
      <c r="A88" t="s">
        <v>221</v>
      </c>
      <c r="B88" t="s">
        <v>222</v>
      </c>
      <c r="C88">
        <v>317</v>
      </c>
      <c r="D88" s="1">
        <v>45121</v>
      </c>
      <c r="E88">
        <v>2023</v>
      </c>
      <c r="F88">
        <v>7</v>
      </c>
      <c r="G88">
        <v>430</v>
      </c>
      <c r="H88">
        <v>1329</v>
      </c>
      <c r="I88" s="1">
        <v>45548</v>
      </c>
      <c r="J88">
        <v>358.45</v>
      </c>
      <c r="K88" s="1">
        <v>45128</v>
      </c>
      <c r="O88">
        <v>1</v>
      </c>
      <c r="P88" s="1">
        <v>45121</v>
      </c>
      <c r="Q88">
        <v>444</v>
      </c>
      <c r="R88">
        <v>1</v>
      </c>
      <c r="S88" s="1">
        <v>45121</v>
      </c>
      <c r="T88">
        <v>444</v>
      </c>
      <c r="U88">
        <v>1</v>
      </c>
      <c r="V88" s="1">
        <v>45121</v>
      </c>
      <c r="W88">
        <v>444</v>
      </c>
      <c r="X88">
        <v>1</v>
      </c>
      <c r="Y88" s="1">
        <v>45121</v>
      </c>
      <c r="Z88">
        <v>444</v>
      </c>
      <c r="AA88">
        <v>64</v>
      </c>
      <c r="AB88" s="1">
        <v>45184</v>
      </c>
      <c r="AC88">
        <v>489</v>
      </c>
      <c r="AD88">
        <v>70</v>
      </c>
      <c r="AE88" s="1">
        <v>45190</v>
      </c>
      <c r="AF88">
        <v>509</v>
      </c>
      <c r="AG88">
        <v>75</v>
      </c>
      <c r="AH88" s="1">
        <v>45195</v>
      </c>
      <c r="AI88">
        <v>539.65</v>
      </c>
      <c r="AJ88">
        <v>76</v>
      </c>
      <c r="AK88" s="1">
        <v>45196</v>
      </c>
      <c r="AL88">
        <v>626.45000000000005</v>
      </c>
      <c r="AM88">
        <v>76</v>
      </c>
      <c r="AN88" s="1">
        <v>45196</v>
      </c>
      <c r="AO88">
        <v>626.45000000000005</v>
      </c>
      <c r="AP88">
        <v>78</v>
      </c>
      <c r="AQ88" s="1">
        <v>45198</v>
      </c>
      <c r="AR88">
        <v>634.65</v>
      </c>
    </row>
    <row r="89" spans="1:45" x14ac:dyDescent="0.3">
      <c r="A89" t="s">
        <v>223</v>
      </c>
      <c r="B89" t="s">
        <v>224</v>
      </c>
      <c r="C89">
        <v>265</v>
      </c>
      <c r="D89" s="1">
        <v>45117</v>
      </c>
      <c r="E89">
        <v>2023</v>
      </c>
      <c r="F89">
        <v>7</v>
      </c>
      <c r="G89">
        <v>403</v>
      </c>
      <c r="H89">
        <v>883.8</v>
      </c>
      <c r="I89" s="1">
        <v>45348</v>
      </c>
      <c r="J89">
        <v>403</v>
      </c>
      <c r="K89" s="1">
        <v>45117</v>
      </c>
      <c r="O89">
        <v>1</v>
      </c>
      <c r="P89" s="1">
        <v>45117</v>
      </c>
      <c r="Q89">
        <v>427</v>
      </c>
      <c r="R89">
        <v>1</v>
      </c>
      <c r="S89" s="1">
        <v>45117</v>
      </c>
      <c r="T89">
        <v>427</v>
      </c>
      <c r="U89">
        <v>1</v>
      </c>
      <c r="V89" s="1">
        <v>45117</v>
      </c>
      <c r="W89">
        <v>427</v>
      </c>
      <c r="X89">
        <v>1</v>
      </c>
      <c r="Y89" s="1">
        <v>45117</v>
      </c>
      <c r="Z89">
        <v>427</v>
      </c>
      <c r="AA89">
        <v>1</v>
      </c>
      <c r="AB89" s="1">
        <v>45117</v>
      </c>
      <c r="AC89">
        <v>427</v>
      </c>
      <c r="AD89">
        <v>1</v>
      </c>
      <c r="AE89" s="1">
        <v>45117</v>
      </c>
      <c r="AF89">
        <v>427</v>
      </c>
      <c r="AG89">
        <v>2</v>
      </c>
      <c r="AH89" s="1">
        <v>45118</v>
      </c>
      <c r="AI89">
        <v>504.7</v>
      </c>
      <c r="AJ89">
        <v>2</v>
      </c>
      <c r="AK89" s="1">
        <v>45118</v>
      </c>
      <c r="AL89">
        <v>504.7</v>
      </c>
      <c r="AM89">
        <v>2</v>
      </c>
      <c r="AN89" s="1">
        <v>45118</v>
      </c>
      <c r="AO89">
        <v>504.7</v>
      </c>
      <c r="AP89">
        <v>3</v>
      </c>
      <c r="AQ89" s="1">
        <v>45119</v>
      </c>
      <c r="AR89">
        <v>547</v>
      </c>
    </row>
    <row r="90" spans="1:45" x14ac:dyDescent="0.3">
      <c r="A90" t="s">
        <v>225</v>
      </c>
      <c r="B90" t="s">
        <v>226</v>
      </c>
      <c r="C90">
        <v>672</v>
      </c>
      <c r="D90" s="1">
        <v>45114</v>
      </c>
      <c r="E90">
        <v>2023</v>
      </c>
      <c r="F90">
        <v>7</v>
      </c>
      <c r="G90">
        <v>1300</v>
      </c>
      <c r="H90">
        <v>1343.95</v>
      </c>
      <c r="I90" s="1">
        <v>45114</v>
      </c>
      <c r="J90">
        <v>618.79999999999995</v>
      </c>
      <c r="K90" s="1">
        <v>45447</v>
      </c>
      <c r="O90">
        <v>1</v>
      </c>
      <c r="P90" s="1">
        <v>45114</v>
      </c>
      <c r="Q90">
        <v>1343.95</v>
      </c>
      <c r="R90">
        <v>1</v>
      </c>
      <c r="S90" s="1">
        <v>45114</v>
      </c>
      <c r="T90">
        <v>1343.95</v>
      </c>
      <c r="U90">
        <v>1</v>
      </c>
      <c r="V90" s="1">
        <v>45114</v>
      </c>
      <c r="W90">
        <v>1343.95</v>
      </c>
      <c r="X90">
        <v>1</v>
      </c>
      <c r="Y90" s="1">
        <v>45114</v>
      </c>
      <c r="Z90">
        <v>1343.95</v>
      </c>
      <c r="AA90">
        <v>1</v>
      </c>
      <c r="AB90" s="1">
        <v>45114</v>
      </c>
      <c r="AC90">
        <v>1343.95</v>
      </c>
      <c r="AD90">
        <v>1</v>
      </c>
      <c r="AE90" s="1">
        <v>45114</v>
      </c>
      <c r="AF90">
        <v>1343.95</v>
      </c>
      <c r="AG90">
        <v>1</v>
      </c>
      <c r="AH90" s="1">
        <v>45114</v>
      </c>
      <c r="AI90">
        <v>1343.95</v>
      </c>
      <c r="AJ90">
        <v>1</v>
      </c>
      <c r="AK90" s="1">
        <v>45114</v>
      </c>
      <c r="AL90">
        <v>1343.95</v>
      </c>
      <c r="AM90">
        <v>1</v>
      </c>
      <c r="AN90" s="1">
        <v>45114</v>
      </c>
      <c r="AO90">
        <v>1343.95</v>
      </c>
    </row>
    <row r="91" spans="1:45" x14ac:dyDescent="0.3">
      <c r="A91" t="s">
        <v>227</v>
      </c>
      <c r="B91" t="s">
        <v>228</v>
      </c>
      <c r="C91">
        <v>585</v>
      </c>
      <c r="D91" s="1">
        <v>45111</v>
      </c>
      <c r="E91">
        <v>2023</v>
      </c>
      <c r="F91">
        <v>7</v>
      </c>
      <c r="G91">
        <v>625</v>
      </c>
      <c r="H91">
        <v>839.9</v>
      </c>
      <c r="I91" s="1">
        <v>45174</v>
      </c>
      <c r="J91">
        <v>48</v>
      </c>
      <c r="K91" s="1">
        <v>45520</v>
      </c>
      <c r="O91">
        <v>1</v>
      </c>
      <c r="P91" s="1">
        <v>45111</v>
      </c>
      <c r="Q91">
        <v>667</v>
      </c>
      <c r="R91">
        <v>59</v>
      </c>
      <c r="S91" s="1">
        <v>45169</v>
      </c>
      <c r="T91">
        <v>720</v>
      </c>
      <c r="U91">
        <v>60</v>
      </c>
      <c r="V91" s="1">
        <v>45170</v>
      </c>
      <c r="W91">
        <v>765.1</v>
      </c>
      <c r="X91">
        <v>64</v>
      </c>
      <c r="Y91" s="1">
        <v>45174</v>
      </c>
      <c r="Z91">
        <v>839.9</v>
      </c>
    </row>
    <row r="92" spans="1:45" x14ac:dyDescent="0.3">
      <c r="A92" t="s">
        <v>229</v>
      </c>
      <c r="B92" t="s">
        <v>230</v>
      </c>
      <c r="C92">
        <v>285</v>
      </c>
      <c r="D92" s="1">
        <v>45093</v>
      </c>
      <c r="E92">
        <v>2023</v>
      </c>
      <c r="F92">
        <v>6</v>
      </c>
      <c r="G92">
        <v>392.5</v>
      </c>
      <c r="H92">
        <v>477</v>
      </c>
      <c r="I92" s="1">
        <v>45100</v>
      </c>
      <c r="J92">
        <v>245.45</v>
      </c>
      <c r="K92" s="1">
        <v>45447</v>
      </c>
      <c r="O92">
        <v>1</v>
      </c>
      <c r="P92" s="1">
        <v>45093</v>
      </c>
      <c r="Q92">
        <v>427.5</v>
      </c>
      <c r="R92">
        <v>1</v>
      </c>
      <c r="S92" s="1">
        <v>45093</v>
      </c>
      <c r="T92">
        <v>427.5</v>
      </c>
      <c r="U92">
        <v>1</v>
      </c>
      <c r="V92" s="1">
        <v>45093</v>
      </c>
      <c r="W92">
        <v>427.5</v>
      </c>
      <c r="X92">
        <v>1</v>
      </c>
      <c r="Y92" s="1">
        <v>45093</v>
      </c>
      <c r="Z92">
        <v>427.5</v>
      </c>
      <c r="AA92">
        <v>1</v>
      </c>
      <c r="AB92" s="1">
        <v>45093</v>
      </c>
      <c r="AC92">
        <v>427.5</v>
      </c>
      <c r="AD92">
        <v>5</v>
      </c>
      <c r="AE92" s="1">
        <v>45097</v>
      </c>
      <c r="AF92">
        <v>463.3</v>
      </c>
    </row>
    <row r="93" spans="1:45" x14ac:dyDescent="0.3">
      <c r="A93" t="s">
        <v>231</v>
      </c>
      <c r="B93" t="s">
        <v>232</v>
      </c>
      <c r="C93">
        <v>1080</v>
      </c>
      <c r="D93" s="1">
        <v>45055</v>
      </c>
      <c r="E93">
        <v>2023</v>
      </c>
      <c r="F93">
        <v>5</v>
      </c>
      <c r="G93">
        <v>1300</v>
      </c>
      <c r="H93">
        <v>2564.9499999999998</v>
      </c>
      <c r="I93" s="1">
        <v>45548</v>
      </c>
      <c r="J93">
        <v>1242</v>
      </c>
      <c r="K93" s="1">
        <v>45068</v>
      </c>
      <c r="O93">
        <v>1</v>
      </c>
      <c r="P93" s="1">
        <v>45055</v>
      </c>
      <c r="Q93">
        <v>1430</v>
      </c>
      <c r="R93">
        <v>1</v>
      </c>
      <c r="S93" s="1">
        <v>45055</v>
      </c>
      <c r="T93">
        <v>1430</v>
      </c>
      <c r="U93">
        <v>1</v>
      </c>
      <c r="V93" s="1">
        <v>45055</v>
      </c>
      <c r="W93">
        <v>1430</v>
      </c>
      <c r="X93">
        <v>30</v>
      </c>
      <c r="Y93" s="1">
        <v>45084</v>
      </c>
      <c r="Z93">
        <v>1518.9</v>
      </c>
      <c r="AA93">
        <v>37</v>
      </c>
      <c r="AB93" s="1">
        <v>45091</v>
      </c>
      <c r="AC93">
        <v>1662</v>
      </c>
      <c r="AD93">
        <v>43</v>
      </c>
      <c r="AE93" s="1">
        <v>45097</v>
      </c>
      <c r="AF93">
        <v>1755</v>
      </c>
      <c r="AG93">
        <v>65</v>
      </c>
      <c r="AH93" s="1">
        <v>45119</v>
      </c>
      <c r="AI93">
        <v>1897.9</v>
      </c>
      <c r="AJ93">
        <v>73</v>
      </c>
      <c r="AK93" s="1">
        <v>45127</v>
      </c>
      <c r="AL93">
        <v>1944</v>
      </c>
      <c r="AM93">
        <v>239</v>
      </c>
      <c r="AN93" s="1">
        <v>45293</v>
      </c>
      <c r="AO93">
        <v>2164.8000000000002</v>
      </c>
      <c r="AP93">
        <v>239</v>
      </c>
      <c r="AQ93" s="1">
        <v>45293</v>
      </c>
      <c r="AR93">
        <v>2164.8000000000002</v>
      </c>
    </row>
    <row r="94" spans="1:45" x14ac:dyDescent="0.3">
      <c r="A94" t="s">
        <v>233</v>
      </c>
      <c r="B94" t="s">
        <v>234</v>
      </c>
      <c r="C94">
        <v>436</v>
      </c>
      <c r="D94" s="1">
        <v>45034</v>
      </c>
      <c r="E94">
        <v>2023</v>
      </c>
      <c r="F94">
        <v>4</v>
      </c>
      <c r="G94">
        <v>436</v>
      </c>
      <c r="H94">
        <v>732.1</v>
      </c>
      <c r="I94" s="1">
        <v>45121</v>
      </c>
      <c r="J94">
        <v>348</v>
      </c>
      <c r="K94" s="1">
        <v>45055</v>
      </c>
      <c r="O94">
        <v>50</v>
      </c>
      <c r="P94" s="1">
        <v>45083</v>
      </c>
      <c r="Q94">
        <v>488</v>
      </c>
      <c r="R94">
        <v>57</v>
      </c>
      <c r="S94" s="1">
        <v>45090</v>
      </c>
      <c r="T94">
        <v>538.9</v>
      </c>
      <c r="U94">
        <v>65</v>
      </c>
      <c r="V94" s="1">
        <v>45098</v>
      </c>
      <c r="W94">
        <v>582.25</v>
      </c>
      <c r="X94">
        <v>78</v>
      </c>
      <c r="Y94" s="1">
        <v>45111</v>
      </c>
      <c r="Z94">
        <v>616</v>
      </c>
      <c r="AA94">
        <v>81</v>
      </c>
      <c r="AB94" s="1">
        <v>45114</v>
      </c>
      <c r="AC94">
        <v>681.7</v>
      </c>
      <c r="AD94">
        <v>87</v>
      </c>
      <c r="AE94" s="1">
        <v>45120</v>
      </c>
      <c r="AF94">
        <v>714.15</v>
      </c>
    </row>
    <row r="95" spans="1:45" x14ac:dyDescent="0.3">
      <c r="A95" t="s">
        <v>235</v>
      </c>
      <c r="B95" t="s">
        <v>236</v>
      </c>
      <c r="C95">
        <v>590</v>
      </c>
      <c r="D95" s="1">
        <v>44999</v>
      </c>
      <c r="E95">
        <v>2023</v>
      </c>
      <c r="F95">
        <v>3</v>
      </c>
      <c r="G95">
        <v>620</v>
      </c>
      <c r="H95">
        <v>1150</v>
      </c>
      <c r="I95" s="1">
        <v>45212</v>
      </c>
      <c r="J95">
        <v>560</v>
      </c>
      <c r="K95" s="1">
        <v>44999</v>
      </c>
      <c r="O95">
        <v>10</v>
      </c>
      <c r="P95" s="1">
        <v>45008</v>
      </c>
      <c r="Q95">
        <v>659.85</v>
      </c>
      <c r="R95">
        <v>50</v>
      </c>
      <c r="S95" s="1">
        <v>45048</v>
      </c>
      <c r="T95">
        <v>730</v>
      </c>
      <c r="U95">
        <v>58</v>
      </c>
      <c r="V95" s="1">
        <v>45056</v>
      </c>
      <c r="W95">
        <v>826.45</v>
      </c>
      <c r="X95">
        <v>58</v>
      </c>
      <c r="Y95" s="1">
        <v>45056</v>
      </c>
      <c r="Z95">
        <v>826.45</v>
      </c>
      <c r="AA95">
        <v>73</v>
      </c>
      <c r="AB95" s="1">
        <v>45071</v>
      </c>
      <c r="AC95">
        <v>924.25</v>
      </c>
      <c r="AD95">
        <v>106</v>
      </c>
      <c r="AE95" s="1">
        <v>45104</v>
      </c>
      <c r="AF95">
        <v>959.5</v>
      </c>
      <c r="AG95">
        <v>178</v>
      </c>
      <c r="AH95" s="1">
        <v>45176</v>
      </c>
      <c r="AI95">
        <v>1045</v>
      </c>
      <c r="AJ95">
        <v>197</v>
      </c>
      <c r="AK95" s="1">
        <v>45195</v>
      </c>
      <c r="AL95">
        <v>1096.4000000000001</v>
      </c>
      <c r="AM95">
        <v>214</v>
      </c>
      <c r="AN95" s="1">
        <v>45212</v>
      </c>
      <c r="AO95">
        <v>1150</v>
      </c>
    </row>
    <row r="96" spans="1:45" x14ac:dyDescent="0.3">
      <c r="A96" t="s">
        <v>237</v>
      </c>
      <c r="B96" t="s">
        <v>238</v>
      </c>
      <c r="C96">
        <v>94</v>
      </c>
      <c r="D96" s="1">
        <v>44930</v>
      </c>
      <c r="E96">
        <v>2023</v>
      </c>
      <c r="F96">
        <v>1</v>
      </c>
      <c r="G96">
        <v>103</v>
      </c>
      <c r="H96">
        <v>116.8</v>
      </c>
      <c r="I96" s="1">
        <v>44930</v>
      </c>
      <c r="J96">
        <v>71.099999999999994</v>
      </c>
      <c r="K96" s="1">
        <v>45447</v>
      </c>
      <c r="O96">
        <v>1</v>
      </c>
      <c r="P96" s="1">
        <v>44930</v>
      </c>
      <c r="Q96">
        <v>116.8</v>
      </c>
      <c r="R96">
        <v>1</v>
      </c>
      <c r="S96" s="1">
        <v>44930</v>
      </c>
      <c r="T96">
        <v>116.8</v>
      </c>
    </row>
    <row r="97" spans="1:44" x14ac:dyDescent="0.3">
      <c r="A97" t="s">
        <v>239</v>
      </c>
      <c r="B97" t="s">
        <v>240</v>
      </c>
      <c r="C97">
        <v>247</v>
      </c>
      <c r="D97" s="1">
        <v>44925</v>
      </c>
      <c r="E97">
        <v>2022</v>
      </c>
      <c r="F97">
        <v>12</v>
      </c>
      <c r="G97">
        <v>244</v>
      </c>
      <c r="H97">
        <v>282</v>
      </c>
      <c r="I97" s="1">
        <v>45551</v>
      </c>
      <c r="J97">
        <v>116</v>
      </c>
      <c r="K97" s="1">
        <v>45014</v>
      </c>
      <c r="O97">
        <v>627</v>
      </c>
      <c r="P97" s="1">
        <v>45551</v>
      </c>
      <c r="Q97">
        <v>282</v>
      </c>
    </row>
    <row r="98" spans="1:44" x14ac:dyDescent="0.3">
      <c r="A98" t="s">
        <v>241</v>
      </c>
      <c r="B98" t="s">
        <v>242</v>
      </c>
      <c r="C98">
        <v>366</v>
      </c>
      <c r="D98" s="1">
        <v>44924</v>
      </c>
      <c r="E98">
        <v>2022</v>
      </c>
      <c r="F98">
        <v>12</v>
      </c>
      <c r="G98">
        <v>367</v>
      </c>
      <c r="H98">
        <v>1189</v>
      </c>
      <c r="I98" s="1">
        <v>45531</v>
      </c>
      <c r="J98">
        <v>272</v>
      </c>
      <c r="K98" s="1">
        <v>45005</v>
      </c>
      <c r="O98">
        <v>212</v>
      </c>
      <c r="P98" s="1">
        <v>45135</v>
      </c>
      <c r="Q98">
        <v>404</v>
      </c>
      <c r="R98">
        <v>240</v>
      </c>
      <c r="S98" s="1">
        <v>45163</v>
      </c>
      <c r="T98">
        <v>439.7</v>
      </c>
      <c r="U98">
        <v>257</v>
      </c>
      <c r="V98" s="1">
        <v>45180</v>
      </c>
      <c r="W98">
        <v>482.9</v>
      </c>
      <c r="X98">
        <v>316</v>
      </c>
      <c r="Y98" s="1">
        <v>45239</v>
      </c>
      <c r="Z98">
        <v>522.45000000000005</v>
      </c>
      <c r="AA98">
        <v>324</v>
      </c>
      <c r="AB98" s="1">
        <v>45247</v>
      </c>
      <c r="AC98">
        <v>563.70000000000005</v>
      </c>
      <c r="AD98">
        <v>398</v>
      </c>
      <c r="AE98" s="1">
        <v>45321</v>
      </c>
      <c r="AF98">
        <v>603.95000000000005</v>
      </c>
      <c r="AG98">
        <v>399</v>
      </c>
      <c r="AH98" s="1">
        <v>45322</v>
      </c>
      <c r="AI98">
        <v>629</v>
      </c>
      <c r="AJ98">
        <v>405</v>
      </c>
      <c r="AK98" s="1">
        <v>45328</v>
      </c>
      <c r="AL98">
        <v>664.6</v>
      </c>
      <c r="AM98">
        <v>411</v>
      </c>
      <c r="AN98" s="1">
        <v>45334</v>
      </c>
      <c r="AO98">
        <v>701</v>
      </c>
      <c r="AP98">
        <v>489</v>
      </c>
      <c r="AQ98" s="1">
        <v>45412</v>
      </c>
      <c r="AR98">
        <v>765.65</v>
      </c>
    </row>
    <row r="99" spans="1:44" x14ac:dyDescent="0.3">
      <c r="A99" t="s">
        <v>243</v>
      </c>
      <c r="B99" t="s">
        <v>244</v>
      </c>
      <c r="C99">
        <v>506</v>
      </c>
      <c r="D99" s="1">
        <v>44918</v>
      </c>
      <c r="E99">
        <v>2022</v>
      </c>
      <c r="F99">
        <v>12</v>
      </c>
      <c r="G99">
        <v>471</v>
      </c>
      <c r="H99">
        <v>905</v>
      </c>
      <c r="I99" s="1">
        <v>45329</v>
      </c>
      <c r="J99">
        <v>431.15</v>
      </c>
      <c r="K99" s="1">
        <v>44921</v>
      </c>
      <c r="O99">
        <v>15</v>
      </c>
      <c r="P99" s="1">
        <v>44932</v>
      </c>
      <c r="Q99">
        <v>581.70000000000005</v>
      </c>
      <c r="R99">
        <v>28</v>
      </c>
      <c r="S99" s="1">
        <v>44945</v>
      </c>
      <c r="T99">
        <v>622.9</v>
      </c>
      <c r="U99">
        <v>53</v>
      </c>
      <c r="V99" s="1">
        <v>44970</v>
      </c>
      <c r="W99">
        <v>674.95</v>
      </c>
      <c r="X99">
        <v>144</v>
      </c>
      <c r="Y99" s="1">
        <v>45061</v>
      </c>
      <c r="Z99">
        <v>718</v>
      </c>
      <c r="AA99">
        <v>188</v>
      </c>
      <c r="AB99" s="1">
        <v>45105</v>
      </c>
      <c r="AC99">
        <v>766</v>
      </c>
      <c r="AD99">
        <v>260</v>
      </c>
      <c r="AE99" s="1">
        <v>45177</v>
      </c>
      <c r="AF99">
        <v>863.3</v>
      </c>
      <c r="AG99">
        <v>260</v>
      </c>
      <c r="AH99" s="1">
        <v>45177</v>
      </c>
      <c r="AI99">
        <v>863.3</v>
      </c>
    </row>
    <row r="100" spans="1:44" x14ac:dyDescent="0.3">
      <c r="A100" t="s">
        <v>245</v>
      </c>
      <c r="B100" t="s">
        <v>246</v>
      </c>
      <c r="C100">
        <v>357</v>
      </c>
      <c r="D100" s="1">
        <v>44917</v>
      </c>
      <c r="E100">
        <v>2022</v>
      </c>
      <c r="F100">
        <v>12</v>
      </c>
      <c r="G100">
        <v>361</v>
      </c>
      <c r="H100">
        <v>699</v>
      </c>
      <c r="I100" s="1">
        <v>45300</v>
      </c>
      <c r="J100">
        <v>305.35000000000002</v>
      </c>
      <c r="K100" s="1">
        <v>44921</v>
      </c>
      <c r="O100">
        <v>27</v>
      </c>
      <c r="P100" s="1">
        <v>44943</v>
      </c>
      <c r="Q100">
        <v>394</v>
      </c>
      <c r="R100">
        <v>28</v>
      </c>
      <c r="S100" s="1">
        <v>44944</v>
      </c>
      <c r="T100">
        <v>429.9</v>
      </c>
      <c r="U100">
        <v>170</v>
      </c>
      <c r="V100" s="1">
        <v>45086</v>
      </c>
      <c r="W100">
        <v>474.9</v>
      </c>
      <c r="X100">
        <v>219</v>
      </c>
      <c r="Y100" s="1">
        <v>45135</v>
      </c>
      <c r="Z100">
        <v>508.8</v>
      </c>
      <c r="AA100">
        <v>380</v>
      </c>
      <c r="AB100" s="1">
        <v>45296</v>
      </c>
      <c r="AC100">
        <v>567.95000000000005</v>
      </c>
      <c r="AD100">
        <v>383</v>
      </c>
      <c r="AE100" s="1">
        <v>45299</v>
      </c>
      <c r="AF100">
        <v>665.25</v>
      </c>
      <c r="AG100">
        <v>383</v>
      </c>
      <c r="AH100" s="1">
        <v>45299</v>
      </c>
      <c r="AI100">
        <v>665.25</v>
      </c>
      <c r="AJ100">
        <v>383</v>
      </c>
      <c r="AK100" s="1">
        <v>45299</v>
      </c>
      <c r="AL100">
        <v>665.25</v>
      </c>
      <c r="AM100">
        <v>384</v>
      </c>
      <c r="AN100" s="1">
        <v>45300</v>
      </c>
      <c r="AO100">
        <v>699</v>
      </c>
    </row>
    <row r="101" spans="1:44" x14ac:dyDescent="0.3">
      <c r="A101" t="s">
        <v>247</v>
      </c>
      <c r="B101" t="s">
        <v>248</v>
      </c>
      <c r="C101">
        <v>270</v>
      </c>
      <c r="D101" s="1">
        <v>44918</v>
      </c>
      <c r="E101">
        <v>2022</v>
      </c>
      <c r="F101">
        <v>12</v>
      </c>
      <c r="G101">
        <v>273</v>
      </c>
      <c r="H101">
        <v>625</v>
      </c>
      <c r="I101" s="1">
        <v>45526</v>
      </c>
      <c r="J101">
        <v>180.1</v>
      </c>
      <c r="K101" s="1">
        <v>44932</v>
      </c>
      <c r="O101">
        <v>146</v>
      </c>
      <c r="P101" s="1">
        <v>45063</v>
      </c>
      <c r="Q101">
        <v>304</v>
      </c>
      <c r="R101">
        <v>188</v>
      </c>
      <c r="S101" s="1">
        <v>45105</v>
      </c>
      <c r="T101">
        <v>326.39999999999998</v>
      </c>
      <c r="U101">
        <v>288</v>
      </c>
      <c r="V101" s="1">
        <v>45205</v>
      </c>
      <c r="W101">
        <v>351.65</v>
      </c>
      <c r="X101">
        <v>473</v>
      </c>
      <c r="Y101" s="1">
        <v>45390</v>
      </c>
      <c r="Z101">
        <v>405.05</v>
      </c>
      <c r="AA101">
        <v>473</v>
      </c>
      <c r="AB101" s="1">
        <v>45390</v>
      </c>
      <c r="AC101">
        <v>405.05</v>
      </c>
      <c r="AD101">
        <v>475</v>
      </c>
      <c r="AE101" s="1">
        <v>45392</v>
      </c>
      <c r="AF101">
        <v>435.6</v>
      </c>
      <c r="AG101">
        <v>512</v>
      </c>
      <c r="AH101" s="1">
        <v>45429</v>
      </c>
      <c r="AI101">
        <v>461.4</v>
      </c>
      <c r="AJ101">
        <v>544</v>
      </c>
      <c r="AK101" s="1">
        <v>45461</v>
      </c>
      <c r="AL101">
        <v>490</v>
      </c>
      <c r="AM101">
        <v>565</v>
      </c>
      <c r="AN101" s="1">
        <v>45482</v>
      </c>
      <c r="AO101">
        <v>533.79999999999995</v>
      </c>
      <c r="AP101">
        <v>566</v>
      </c>
      <c r="AQ101" s="1">
        <v>45483</v>
      </c>
      <c r="AR101">
        <v>542.9</v>
      </c>
    </row>
    <row r="102" spans="1:44" x14ac:dyDescent="0.3">
      <c r="A102" t="s">
        <v>249</v>
      </c>
      <c r="B102" t="s">
        <v>250</v>
      </c>
      <c r="C102">
        <v>577</v>
      </c>
      <c r="D102" s="1">
        <v>44907</v>
      </c>
      <c r="E102">
        <v>2022</v>
      </c>
      <c r="F102">
        <v>12</v>
      </c>
      <c r="G102">
        <v>575</v>
      </c>
      <c r="H102">
        <v>722.65</v>
      </c>
      <c r="I102" s="1">
        <v>45142</v>
      </c>
      <c r="J102">
        <v>454</v>
      </c>
      <c r="K102" s="1">
        <v>45447</v>
      </c>
      <c r="O102">
        <v>213</v>
      </c>
      <c r="P102" s="1">
        <v>45119</v>
      </c>
      <c r="Q102">
        <v>644.4</v>
      </c>
      <c r="R102">
        <v>233</v>
      </c>
      <c r="S102" s="1">
        <v>45139</v>
      </c>
      <c r="T102">
        <v>692.5</v>
      </c>
    </row>
    <row r="103" spans="1:44" x14ac:dyDescent="0.3">
      <c r="A103" t="s">
        <v>251</v>
      </c>
      <c r="B103" t="s">
        <v>252</v>
      </c>
      <c r="C103">
        <v>237</v>
      </c>
      <c r="D103" s="1">
        <v>44903</v>
      </c>
      <c r="E103">
        <v>2022</v>
      </c>
      <c r="F103">
        <v>12</v>
      </c>
      <c r="G103">
        <v>266.05</v>
      </c>
      <c r="H103">
        <v>389.65</v>
      </c>
      <c r="I103" s="1">
        <v>45532</v>
      </c>
      <c r="J103">
        <v>137</v>
      </c>
      <c r="K103" s="1">
        <v>45014</v>
      </c>
      <c r="O103">
        <v>1</v>
      </c>
      <c r="P103" s="1">
        <v>44903</v>
      </c>
      <c r="Q103">
        <v>279</v>
      </c>
      <c r="R103">
        <v>369</v>
      </c>
      <c r="S103" s="1">
        <v>45271</v>
      </c>
      <c r="T103">
        <v>287.85000000000002</v>
      </c>
      <c r="U103">
        <v>574</v>
      </c>
      <c r="V103" s="1">
        <v>45476</v>
      </c>
      <c r="W103">
        <v>328.46</v>
      </c>
      <c r="X103">
        <v>596</v>
      </c>
      <c r="Y103" s="1">
        <v>45498</v>
      </c>
      <c r="Z103">
        <v>347.4</v>
      </c>
      <c r="AA103">
        <v>614</v>
      </c>
      <c r="AB103" s="1">
        <v>45516</v>
      </c>
      <c r="AC103">
        <v>375.45</v>
      </c>
      <c r="AD103">
        <v>628</v>
      </c>
      <c r="AE103" s="1">
        <v>45530</v>
      </c>
      <c r="AF103">
        <v>382</v>
      </c>
    </row>
    <row r="104" spans="1:44" x14ac:dyDescent="0.3">
      <c r="A104" t="s">
        <v>253</v>
      </c>
      <c r="B104" t="s">
        <v>254</v>
      </c>
      <c r="C104">
        <v>541</v>
      </c>
      <c r="D104" s="1">
        <v>44889</v>
      </c>
      <c r="E104">
        <v>2022</v>
      </c>
      <c r="F104">
        <v>11</v>
      </c>
      <c r="G104">
        <v>555</v>
      </c>
      <c r="H104">
        <v>790.35</v>
      </c>
      <c r="I104" s="1">
        <v>45532</v>
      </c>
      <c r="J104">
        <v>416.05</v>
      </c>
      <c r="K104" s="1">
        <v>45044</v>
      </c>
      <c r="O104">
        <v>2</v>
      </c>
      <c r="P104" s="1">
        <v>44890</v>
      </c>
      <c r="Q104">
        <v>597</v>
      </c>
      <c r="R104">
        <v>237</v>
      </c>
      <c r="S104" s="1">
        <v>45125</v>
      </c>
      <c r="T104">
        <v>658.95</v>
      </c>
      <c r="U104">
        <v>411</v>
      </c>
      <c r="V104" s="1">
        <v>45299</v>
      </c>
      <c r="W104">
        <v>714.8</v>
      </c>
      <c r="X104">
        <v>632</v>
      </c>
      <c r="Y104" s="1">
        <v>45520</v>
      </c>
      <c r="Z104">
        <v>770</v>
      </c>
    </row>
    <row r="105" spans="1:44" x14ac:dyDescent="0.3">
      <c r="A105" t="s">
        <v>255</v>
      </c>
      <c r="B105" t="s">
        <v>256</v>
      </c>
      <c r="C105">
        <v>65</v>
      </c>
      <c r="D105" s="1">
        <v>44888</v>
      </c>
      <c r="E105">
        <v>2022</v>
      </c>
      <c r="F105">
        <v>11</v>
      </c>
      <c r="G105">
        <v>60</v>
      </c>
      <c r="H105">
        <v>224.65</v>
      </c>
      <c r="I105" s="1">
        <v>45548</v>
      </c>
      <c r="J105">
        <v>38.4</v>
      </c>
      <c r="K105" s="1">
        <v>45029</v>
      </c>
      <c r="O105">
        <v>246</v>
      </c>
      <c r="P105" s="1">
        <v>45133</v>
      </c>
      <c r="Q105">
        <v>72.45</v>
      </c>
      <c r="R105">
        <v>378</v>
      </c>
      <c r="S105" s="1">
        <v>45265</v>
      </c>
      <c r="T105">
        <v>81.8</v>
      </c>
      <c r="U105">
        <v>380</v>
      </c>
      <c r="V105" s="1">
        <v>45267</v>
      </c>
      <c r="W105">
        <v>85</v>
      </c>
      <c r="X105">
        <v>385</v>
      </c>
      <c r="Y105" s="1">
        <v>45272</v>
      </c>
      <c r="Z105">
        <v>105.3</v>
      </c>
      <c r="AA105">
        <v>385</v>
      </c>
      <c r="AB105" s="1">
        <v>45272</v>
      </c>
      <c r="AC105">
        <v>105.3</v>
      </c>
      <c r="AD105">
        <v>385</v>
      </c>
      <c r="AE105" s="1">
        <v>45272</v>
      </c>
      <c r="AF105">
        <v>105.3</v>
      </c>
      <c r="AG105">
        <v>386</v>
      </c>
      <c r="AH105" s="1">
        <v>45273</v>
      </c>
      <c r="AI105">
        <v>112.4</v>
      </c>
      <c r="AJ105">
        <v>406</v>
      </c>
      <c r="AK105" s="1">
        <v>45293</v>
      </c>
      <c r="AL105">
        <v>118</v>
      </c>
      <c r="AM105">
        <v>407</v>
      </c>
      <c r="AN105" s="1">
        <v>45294</v>
      </c>
      <c r="AO105">
        <v>137.85</v>
      </c>
      <c r="AP105">
        <v>407</v>
      </c>
      <c r="AQ105" s="1">
        <v>45294</v>
      </c>
      <c r="AR105">
        <v>137.85</v>
      </c>
    </row>
    <row r="106" spans="1:44" x14ac:dyDescent="0.3">
      <c r="A106" t="s">
        <v>257</v>
      </c>
      <c r="B106" t="s">
        <v>258</v>
      </c>
      <c r="C106">
        <v>587</v>
      </c>
      <c r="D106" s="1">
        <v>44887</v>
      </c>
      <c r="E106">
        <v>2022</v>
      </c>
      <c r="F106">
        <v>11</v>
      </c>
      <c r="G106">
        <v>778</v>
      </c>
      <c r="H106">
        <v>5742</v>
      </c>
      <c r="I106" s="1">
        <v>45553</v>
      </c>
      <c r="J106">
        <v>666.8</v>
      </c>
      <c r="K106" s="1">
        <v>44921</v>
      </c>
      <c r="O106">
        <v>1</v>
      </c>
      <c r="P106" s="1">
        <v>44887</v>
      </c>
      <c r="Q106">
        <v>786</v>
      </c>
      <c r="R106">
        <v>1</v>
      </c>
      <c r="S106" s="1">
        <v>44887</v>
      </c>
      <c r="T106">
        <v>786</v>
      </c>
      <c r="U106">
        <v>1</v>
      </c>
      <c r="V106" s="1">
        <v>44887</v>
      </c>
      <c r="W106">
        <v>786</v>
      </c>
      <c r="X106">
        <v>59</v>
      </c>
      <c r="Y106" s="1">
        <v>44945</v>
      </c>
      <c r="Z106">
        <v>825.8</v>
      </c>
      <c r="AA106">
        <v>77</v>
      </c>
      <c r="AB106" s="1">
        <v>44963</v>
      </c>
      <c r="AC106">
        <v>904</v>
      </c>
      <c r="AD106">
        <v>92</v>
      </c>
      <c r="AE106" s="1">
        <v>44978</v>
      </c>
      <c r="AF106">
        <v>951.25</v>
      </c>
      <c r="AG106">
        <v>133</v>
      </c>
      <c r="AH106" s="1">
        <v>45019</v>
      </c>
      <c r="AI106">
        <v>1070</v>
      </c>
      <c r="AJ106">
        <v>133</v>
      </c>
      <c r="AK106" s="1">
        <v>45019</v>
      </c>
      <c r="AL106">
        <v>1070</v>
      </c>
      <c r="AM106">
        <v>177</v>
      </c>
      <c r="AN106" s="1">
        <v>45063</v>
      </c>
      <c r="AO106">
        <v>1190</v>
      </c>
      <c r="AP106">
        <v>177</v>
      </c>
      <c r="AQ106" s="1">
        <v>45063</v>
      </c>
      <c r="AR106">
        <v>1190</v>
      </c>
    </row>
    <row r="107" spans="1:44" x14ac:dyDescent="0.3">
      <c r="A107" t="s">
        <v>259</v>
      </c>
      <c r="B107" t="s">
        <v>260</v>
      </c>
      <c r="C107">
        <v>407</v>
      </c>
      <c r="D107" s="1">
        <v>44886</v>
      </c>
      <c r="E107">
        <v>2022</v>
      </c>
      <c r="F107">
        <v>11</v>
      </c>
      <c r="G107">
        <v>450</v>
      </c>
      <c r="H107">
        <v>837.7</v>
      </c>
      <c r="I107" s="1">
        <v>45349</v>
      </c>
      <c r="J107">
        <v>440.2</v>
      </c>
      <c r="K107" s="1">
        <v>44886</v>
      </c>
      <c r="O107">
        <v>1</v>
      </c>
      <c r="P107" s="1">
        <v>44886</v>
      </c>
      <c r="Q107">
        <v>476</v>
      </c>
      <c r="R107">
        <v>4</v>
      </c>
      <c r="S107" s="1">
        <v>44889</v>
      </c>
      <c r="T107">
        <v>509</v>
      </c>
      <c r="U107">
        <v>5</v>
      </c>
      <c r="V107" s="1">
        <v>44890</v>
      </c>
      <c r="W107">
        <v>538.79999999999995</v>
      </c>
      <c r="X107">
        <v>46</v>
      </c>
      <c r="Y107" s="1">
        <v>44931</v>
      </c>
      <c r="Z107">
        <v>570.79999999999995</v>
      </c>
      <c r="AA107">
        <v>54</v>
      </c>
      <c r="AB107" s="1">
        <v>44939</v>
      </c>
      <c r="AC107">
        <v>629</v>
      </c>
      <c r="AD107">
        <v>57</v>
      </c>
      <c r="AE107" s="1">
        <v>44942</v>
      </c>
      <c r="AF107">
        <v>653.6</v>
      </c>
      <c r="AG107">
        <v>85</v>
      </c>
      <c r="AH107" s="1">
        <v>44970</v>
      </c>
      <c r="AI107">
        <v>731.8</v>
      </c>
      <c r="AJ107">
        <v>456</v>
      </c>
      <c r="AK107" s="1">
        <v>45341</v>
      </c>
      <c r="AL107">
        <v>744</v>
      </c>
      <c r="AM107">
        <v>459</v>
      </c>
      <c r="AN107" s="1">
        <v>45344</v>
      </c>
      <c r="AO107">
        <v>779.35</v>
      </c>
      <c r="AP107">
        <v>463</v>
      </c>
      <c r="AQ107" s="1">
        <v>45348</v>
      </c>
      <c r="AR107">
        <v>833.85</v>
      </c>
    </row>
    <row r="108" spans="1:44" x14ac:dyDescent="0.3">
      <c r="A108" t="s">
        <v>261</v>
      </c>
      <c r="B108" t="s">
        <v>262</v>
      </c>
      <c r="C108">
        <v>300</v>
      </c>
      <c r="D108" s="1">
        <v>44881</v>
      </c>
      <c r="E108">
        <v>2022</v>
      </c>
      <c r="F108">
        <v>11</v>
      </c>
      <c r="G108">
        <v>322.8</v>
      </c>
      <c r="H108">
        <v>933.4</v>
      </c>
      <c r="I108" s="1">
        <v>45553</v>
      </c>
      <c r="J108">
        <v>303</v>
      </c>
      <c r="K108" s="1">
        <v>44883</v>
      </c>
      <c r="O108">
        <v>1</v>
      </c>
      <c r="P108" s="1">
        <v>44881</v>
      </c>
      <c r="Q108">
        <v>334.7</v>
      </c>
      <c r="R108">
        <v>9</v>
      </c>
      <c r="S108" s="1">
        <v>44889</v>
      </c>
      <c r="T108">
        <v>379.2</v>
      </c>
      <c r="U108">
        <v>10</v>
      </c>
      <c r="V108" s="1">
        <v>44890</v>
      </c>
      <c r="W108">
        <v>410</v>
      </c>
      <c r="X108">
        <v>13</v>
      </c>
      <c r="Y108" s="1">
        <v>44893</v>
      </c>
      <c r="Z108">
        <v>431</v>
      </c>
      <c r="AA108">
        <v>246</v>
      </c>
      <c r="AB108" s="1">
        <v>45126</v>
      </c>
      <c r="AC108">
        <v>468.9</v>
      </c>
      <c r="AD108">
        <v>252</v>
      </c>
      <c r="AE108" s="1">
        <v>45132</v>
      </c>
      <c r="AF108">
        <v>491.9</v>
      </c>
      <c r="AG108">
        <v>294</v>
      </c>
      <c r="AH108" s="1">
        <v>45174</v>
      </c>
      <c r="AI108">
        <v>519</v>
      </c>
      <c r="AJ108">
        <v>365</v>
      </c>
      <c r="AK108" s="1">
        <v>45245</v>
      </c>
      <c r="AL108">
        <v>553</v>
      </c>
      <c r="AM108">
        <v>407</v>
      </c>
      <c r="AN108" s="1">
        <v>45287</v>
      </c>
      <c r="AO108">
        <v>580</v>
      </c>
      <c r="AP108">
        <v>441</v>
      </c>
      <c r="AQ108" s="1">
        <v>45321</v>
      </c>
      <c r="AR108">
        <v>605.9</v>
      </c>
    </row>
    <row r="109" spans="1:44" x14ac:dyDescent="0.3">
      <c r="A109" t="s">
        <v>263</v>
      </c>
      <c r="B109" t="s">
        <v>264</v>
      </c>
      <c r="C109">
        <v>336</v>
      </c>
      <c r="D109" s="1">
        <v>44881</v>
      </c>
      <c r="E109">
        <v>2022</v>
      </c>
      <c r="F109">
        <v>11</v>
      </c>
      <c r="G109">
        <v>401</v>
      </c>
      <c r="H109">
        <v>1513.9</v>
      </c>
      <c r="I109" s="1">
        <v>45338</v>
      </c>
      <c r="J109">
        <v>390.55</v>
      </c>
      <c r="K109" s="1">
        <v>44881</v>
      </c>
      <c r="O109">
        <v>1</v>
      </c>
      <c r="P109" s="1">
        <v>44881</v>
      </c>
      <c r="Q109">
        <v>424.65</v>
      </c>
      <c r="R109">
        <v>1</v>
      </c>
      <c r="S109" s="1">
        <v>44881</v>
      </c>
      <c r="T109">
        <v>424.65</v>
      </c>
      <c r="U109">
        <v>2</v>
      </c>
      <c r="V109" s="1">
        <v>44882</v>
      </c>
      <c r="W109">
        <v>455.7</v>
      </c>
      <c r="X109">
        <v>9</v>
      </c>
      <c r="Y109" s="1">
        <v>44889</v>
      </c>
      <c r="Z109">
        <v>487.75</v>
      </c>
      <c r="AA109">
        <v>93</v>
      </c>
      <c r="AB109" s="1">
        <v>44973</v>
      </c>
      <c r="AC109">
        <v>510</v>
      </c>
      <c r="AD109">
        <v>106</v>
      </c>
      <c r="AE109" s="1">
        <v>44986</v>
      </c>
      <c r="AF109">
        <v>538</v>
      </c>
      <c r="AG109">
        <v>182</v>
      </c>
      <c r="AH109" s="1">
        <v>45062</v>
      </c>
      <c r="AI109">
        <v>580</v>
      </c>
      <c r="AJ109">
        <v>195</v>
      </c>
      <c r="AK109" s="1">
        <v>45075</v>
      </c>
      <c r="AL109">
        <v>608</v>
      </c>
      <c r="AM109">
        <v>210</v>
      </c>
      <c r="AN109" s="1">
        <v>45090</v>
      </c>
      <c r="AO109">
        <v>639</v>
      </c>
      <c r="AP109">
        <v>212</v>
      </c>
      <c r="AQ109" s="1">
        <v>45092</v>
      </c>
      <c r="AR109">
        <v>682.9</v>
      </c>
    </row>
    <row r="110" spans="1:44" x14ac:dyDescent="0.3">
      <c r="A110" t="s">
        <v>265</v>
      </c>
      <c r="B110" t="s">
        <v>266</v>
      </c>
      <c r="C110">
        <v>368</v>
      </c>
      <c r="D110" s="1">
        <v>44880</v>
      </c>
      <c r="E110">
        <v>2022</v>
      </c>
      <c r="F110">
        <v>11</v>
      </c>
      <c r="G110">
        <v>359.5</v>
      </c>
      <c r="H110">
        <v>691</v>
      </c>
      <c r="I110" s="1">
        <v>45139</v>
      </c>
      <c r="J110">
        <v>281.2</v>
      </c>
      <c r="K110" s="1">
        <v>45520</v>
      </c>
      <c r="O110">
        <v>30</v>
      </c>
      <c r="P110" s="1">
        <v>44909</v>
      </c>
      <c r="Q110">
        <v>415.8</v>
      </c>
      <c r="R110">
        <v>86</v>
      </c>
      <c r="S110" s="1">
        <v>44965</v>
      </c>
      <c r="T110">
        <v>444.4</v>
      </c>
      <c r="U110">
        <v>186</v>
      </c>
      <c r="V110" s="1">
        <v>45065</v>
      </c>
      <c r="W110">
        <v>482.65</v>
      </c>
      <c r="X110">
        <v>190</v>
      </c>
      <c r="Y110" s="1">
        <v>45069</v>
      </c>
      <c r="Z110">
        <v>519.79999999999995</v>
      </c>
      <c r="AA110">
        <v>221</v>
      </c>
      <c r="AB110" s="1">
        <v>45100</v>
      </c>
      <c r="AC110">
        <v>565</v>
      </c>
      <c r="AD110">
        <v>238</v>
      </c>
      <c r="AE110" s="1">
        <v>45117</v>
      </c>
      <c r="AF110">
        <v>612</v>
      </c>
      <c r="AG110">
        <v>245</v>
      </c>
      <c r="AH110" s="1">
        <v>45124</v>
      </c>
      <c r="AI110">
        <v>637</v>
      </c>
      <c r="AJ110">
        <v>255</v>
      </c>
      <c r="AK110" s="1">
        <v>45134</v>
      </c>
      <c r="AL110">
        <v>665.95</v>
      </c>
    </row>
    <row r="111" spans="1:44" x14ac:dyDescent="0.3">
      <c r="A111" t="s">
        <v>267</v>
      </c>
      <c r="B111" t="s">
        <v>268</v>
      </c>
      <c r="C111">
        <v>80</v>
      </c>
      <c r="D111" s="1">
        <v>44854</v>
      </c>
      <c r="E111">
        <v>2022</v>
      </c>
      <c r="F111">
        <v>10</v>
      </c>
      <c r="G111">
        <v>84.5</v>
      </c>
      <c r="H111">
        <v>124.2</v>
      </c>
      <c r="I111" s="1">
        <v>45303</v>
      </c>
      <c r="J111">
        <v>60.1</v>
      </c>
      <c r="K111" s="1">
        <v>45013</v>
      </c>
      <c r="O111">
        <v>1</v>
      </c>
      <c r="P111" s="1">
        <v>44854</v>
      </c>
      <c r="Q111">
        <v>100</v>
      </c>
      <c r="R111">
        <v>1</v>
      </c>
      <c r="S111" s="1">
        <v>44854</v>
      </c>
      <c r="T111">
        <v>100</v>
      </c>
      <c r="U111">
        <v>420</v>
      </c>
      <c r="V111" s="1">
        <v>45273</v>
      </c>
      <c r="W111">
        <v>109.95</v>
      </c>
      <c r="X111">
        <v>421</v>
      </c>
      <c r="Y111" s="1">
        <v>45274</v>
      </c>
      <c r="Z111">
        <v>113.95</v>
      </c>
      <c r="AA111">
        <v>446</v>
      </c>
      <c r="AB111" s="1">
        <v>45299</v>
      </c>
      <c r="AC111">
        <v>122.4</v>
      </c>
    </row>
    <row r="112" spans="1:44" x14ac:dyDescent="0.3">
      <c r="A112" t="s">
        <v>269</v>
      </c>
      <c r="B112" t="s">
        <v>270</v>
      </c>
      <c r="C112">
        <v>59</v>
      </c>
      <c r="D112" s="1">
        <v>44851</v>
      </c>
      <c r="E112">
        <v>2022</v>
      </c>
      <c r="F112">
        <v>10</v>
      </c>
      <c r="G112">
        <v>90</v>
      </c>
      <c r="H112">
        <v>262</v>
      </c>
      <c r="I112" s="1">
        <v>45482</v>
      </c>
      <c r="J112">
        <v>61.6</v>
      </c>
      <c r="K112" s="1">
        <v>45013</v>
      </c>
      <c r="O112">
        <v>1</v>
      </c>
      <c r="P112" s="1">
        <v>44851</v>
      </c>
      <c r="Q112">
        <v>91</v>
      </c>
      <c r="R112">
        <v>1</v>
      </c>
      <c r="S112" s="1">
        <v>44851</v>
      </c>
      <c r="T112">
        <v>91</v>
      </c>
      <c r="U112">
        <v>1</v>
      </c>
      <c r="V112" s="1">
        <v>44851</v>
      </c>
      <c r="W112">
        <v>91</v>
      </c>
      <c r="X112">
        <v>1</v>
      </c>
      <c r="Y112" s="1">
        <v>44851</v>
      </c>
      <c r="Z112">
        <v>91</v>
      </c>
      <c r="AA112">
        <v>1</v>
      </c>
      <c r="AB112" s="1">
        <v>44851</v>
      </c>
      <c r="AC112">
        <v>91</v>
      </c>
      <c r="AD112">
        <v>3</v>
      </c>
      <c r="AE112" s="1">
        <v>44853</v>
      </c>
      <c r="AF112">
        <v>102.2</v>
      </c>
      <c r="AG112">
        <v>3</v>
      </c>
      <c r="AH112" s="1">
        <v>44853</v>
      </c>
      <c r="AI112">
        <v>102.2</v>
      </c>
      <c r="AJ112">
        <v>278</v>
      </c>
      <c r="AK112" s="1">
        <v>45128</v>
      </c>
      <c r="AL112">
        <v>109.25</v>
      </c>
      <c r="AM112">
        <v>281</v>
      </c>
      <c r="AN112" s="1">
        <v>45131</v>
      </c>
      <c r="AO112">
        <v>117.5</v>
      </c>
      <c r="AP112">
        <v>290</v>
      </c>
      <c r="AQ112" s="1">
        <v>45140</v>
      </c>
      <c r="AR112">
        <v>119.4</v>
      </c>
    </row>
    <row r="113" spans="1:44" x14ac:dyDescent="0.3">
      <c r="A113" t="s">
        <v>271</v>
      </c>
      <c r="B113" t="s">
        <v>272</v>
      </c>
      <c r="C113">
        <v>330</v>
      </c>
      <c r="D113" s="1">
        <v>44830</v>
      </c>
      <c r="E113">
        <v>2022</v>
      </c>
      <c r="F113">
        <v>9</v>
      </c>
      <c r="G113">
        <v>450</v>
      </c>
      <c r="H113">
        <v>613.85</v>
      </c>
      <c r="I113" s="1">
        <v>45481</v>
      </c>
      <c r="J113">
        <v>309</v>
      </c>
      <c r="K113" s="1">
        <v>45012</v>
      </c>
      <c r="O113">
        <v>1</v>
      </c>
      <c r="P113" s="1">
        <v>44830</v>
      </c>
      <c r="Q113">
        <v>527.65</v>
      </c>
      <c r="R113">
        <v>1</v>
      </c>
      <c r="S113" s="1">
        <v>44830</v>
      </c>
      <c r="T113">
        <v>527.65</v>
      </c>
      <c r="U113">
        <v>1</v>
      </c>
      <c r="V113" s="1">
        <v>44830</v>
      </c>
      <c r="W113">
        <v>527.65</v>
      </c>
      <c r="X113">
        <v>1</v>
      </c>
      <c r="Y113" s="1">
        <v>44830</v>
      </c>
      <c r="Z113">
        <v>527.65</v>
      </c>
      <c r="AA113">
        <v>1</v>
      </c>
      <c r="AB113" s="1">
        <v>44830</v>
      </c>
      <c r="AC113">
        <v>527.65</v>
      </c>
      <c r="AD113">
        <v>621</v>
      </c>
      <c r="AE113" s="1">
        <v>45450</v>
      </c>
      <c r="AF113">
        <v>533.4</v>
      </c>
      <c r="AG113">
        <v>625</v>
      </c>
      <c r="AH113" s="1">
        <v>45454</v>
      </c>
      <c r="AI113">
        <v>572</v>
      </c>
      <c r="AJ113">
        <v>638</v>
      </c>
      <c r="AK113" s="1">
        <v>45467</v>
      </c>
      <c r="AL113">
        <v>595.79999999999995</v>
      </c>
    </row>
    <row r="114" spans="1:44" x14ac:dyDescent="0.3">
      <c r="A114" t="s">
        <v>273</v>
      </c>
      <c r="B114" t="s">
        <v>274</v>
      </c>
      <c r="C114">
        <v>326</v>
      </c>
      <c r="D114" s="1">
        <v>44810</v>
      </c>
      <c r="E114">
        <v>2022</v>
      </c>
      <c r="F114">
        <v>9</v>
      </c>
      <c r="G114">
        <v>508.7</v>
      </c>
      <c r="H114">
        <v>847</v>
      </c>
      <c r="I114" s="1">
        <v>45140</v>
      </c>
      <c r="J114">
        <v>348</v>
      </c>
      <c r="K114" s="1">
        <v>44922</v>
      </c>
      <c r="O114">
        <v>1</v>
      </c>
      <c r="P114" s="1">
        <v>44810</v>
      </c>
      <c r="Q114">
        <v>549</v>
      </c>
      <c r="R114">
        <v>1</v>
      </c>
      <c r="S114" s="1">
        <v>44810</v>
      </c>
      <c r="T114">
        <v>549</v>
      </c>
      <c r="U114">
        <v>1</v>
      </c>
      <c r="V114" s="1">
        <v>44810</v>
      </c>
      <c r="W114">
        <v>549</v>
      </c>
      <c r="X114">
        <v>1</v>
      </c>
      <c r="Y114" s="1">
        <v>44810</v>
      </c>
      <c r="Z114">
        <v>549</v>
      </c>
      <c r="AA114">
        <v>1</v>
      </c>
      <c r="AB114" s="1">
        <v>44810</v>
      </c>
      <c r="AC114">
        <v>549</v>
      </c>
      <c r="AD114">
        <v>1</v>
      </c>
      <c r="AE114" s="1">
        <v>44810</v>
      </c>
      <c r="AF114">
        <v>549</v>
      </c>
      <c r="AG114">
        <v>261</v>
      </c>
      <c r="AH114" s="1">
        <v>45070</v>
      </c>
      <c r="AI114">
        <v>591.85</v>
      </c>
      <c r="AJ114">
        <v>261</v>
      </c>
      <c r="AK114" s="1">
        <v>45070</v>
      </c>
      <c r="AL114">
        <v>591.85</v>
      </c>
      <c r="AM114">
        <v>275</v>
      </c>
      <c r="AN114" s="1">
        <v>45084</v>
      </c>
      <c r="AO114">
        <v>626</v>
      </c>
      <c r="AP114">
        <v>298</v>
      </c>
      <c r="AQ114" s="1">
        <v>45107</v>
      </c>
      <c r="AR114">
        <v>655</v>
      </c>
    </row>
    <row r="115" spans="1:44" x14ac:dyDescent="0.3">
      <c r="A115" t="s">
        <v>275</v>
      </c>
      <c r="B115" t="s">
        <v>276</v>
      </c>
      <c r="C115">
        <v>220</v>
      </c>
      <c r="D115" s="1">
        <v>44799</v>
      </c>
      <c r="E115">
        <v>2022</v>
      </c>
      <c r="F115">
        <v>8</v>
      </c>
      <c r="G115">
        <v>260</v>
      </c>
      <c r="H115">
        <v>705.2</v>
      </c>
      <c r="I115" s="1">
        <v>45279</v>
      </c>
      <c r="J115">
        <v>248.1</v>
      </c>
      <c r="K115" s="1">
        <v>44956</v>
      </c>
      <c r="O115">
        <v>1</v>
      </c>
      <c r="P115" s="1">
        <v>44799</v>
      </c>
      <c r="Q115">
        <v>312</v>
      </c>
      <c r="R115">
        <v>1</v>
      </c>
      <c r="S115" s="1">
        <v>44799</v>
      </c>
      <c r="T115">
        <v>312</v>
      </c>
      <c r="U115">
        <v>1</v>
      </c>
      <c r="V115" s="1">
        <v>44799</v>
      </c>
      <c r="W115">
        <v>312</v>
      </c>
      <c r="X115">
        <v>1</v>
      </c>
      <c r="Y115" s="1">
        <v>44799</v>
      </c>
      <c r="Z115">
        <v>312</v>
      </c>
      <c r="AA115">
        <v>4</v>
      </c>
      <c r="AB115" s="1">
        <v>44802</v>
      </c>
      <c r="AC115">
        <v>342.8</v>
      </c>
      <c r="AD115">
        <v>270</v>
      </c>
      <c r="AE115" s="1">
        <v>45068</v>
      </c>
      <c r="AF115">
        <v>368</v>
      </c>
      <c r="AG115">
        <v>271</v>
      </c>
      <c r="AH115" s="1">
        <v>45069</v>
      </c>
      <c r="AI115">
        <v>378</v>
      </c>
      <c r="AJ115">
        <v>278</v>
      </c>
      <c r="AK115" s="1">
        <v>45076</v>
      </c>
      <c r="AL115">
        <v>397.8</v>
      </c>
      <c r="AM115">
        <v>293</v>
      </c>
      <c r="AN115" s="1">
        <v>45091</v>
      </c>
      <c r="AO115">
        <v>428.8</v>
      </c>
      <c r="AP115">
        <v>294</v>
      </c>
      <c r="AQ115" s="1">
        <v>45092</v>
      </c>
      <c r="AR115">
        <v>461</v>
      </c>
    </row>
    <row r="116" spans="1:44" x14ac:dyDescent="0.3">
      <c r="A116" t="s">
        <v>277</v>
      </c>
      <c r="B116" t="s">
        <v>278</v>
      </c>
      <c r="C116">
        <v>642</v>
      </c>
      <c r="D116" s="1">
        <v>44715</v>
      </c>
      <c r="E116">
        <v>2022</v>
      </c>
      <c r="F116">
        <v>6</v>
      </c>
      <c r="G116">
        <v>704</v>
      </c>
      <c r="H116">
        <v>1209</v>
      </c>
      <c r="I116" s="1">
        <v>45099</v>
      </c>
      <c r="J116">
        <v>701</v>
      </c>
      <c r="K116" s="1">
        <v>44715</v>
      </c>
      <c r="O116">
        <v>1</v>
      </c>
      <c r="P116" s="1">
        <v>44715</v>
      </c>
      <c r="Q116">
        <v>774.4</v>
      </c>
      <c r="R116">
        <v>1</v>
      </c>
      <c r="S116" s="1">
        <v>44715</v>
      </c>
      <c r="T116">
        <v>774.4</v>
      </c>
      <c r="U116">
        <v>35</v>
      </c>
      <c r="V116" s="1">
        <v>44749</v>
      </c>
      <c r="W116">
        <v>874</v>
      </c>
      <c r="X116">
        <v>46</v>
      </c>
      <c r="Y116" s="1">
        <v>44760</v>
      </c>
      <c r="Z116">
        <v>933</v>
      </c>
      <c r="AA116">
        <v>47</v>
      </c>
      <c r="AB116" s="1">
        <v>44761</v>
      </c>
      <c r="AC116">
        <v>987</v>
      </c>
      <c r="AD116">
        <v>106</v>
      </c>
      <c r="AE116" s="1">
        <v>44820</v>
      </c>
      <c r="AF116">
        <v>1048.9000000000001</v>
      </c>
      <c r="AG116">
        <v>384</v>
      </c>
      <c r="AH116" s="1">
        <v>45098</v>
      </c>
      <c r="AI116">
        <v>1104.5</v>
      </c>
      <c r="AJ116">
        <v>385</v>
      </c>
      <c r="AK116" s="1">
        <v>45099</v>
      </c>
      <c r="AL116">
        <v>1209</v>
      </c>
    </row>
    <row r="117" spans="1:44" x14ac:dyDescent="0.3">
      <c r="A117" t="s">
        <v>279</v>
      </c>
      <c r="B117" t="s">
        <v>280</v>
      </c>
      <c r="C117">
        <v>256</v>
      </c>
      <c r="D117" s="1">
        <v>44713</v>
      </c>
      <c r="E117">
        <v>2022</v>
      </c>
      <c r="F117">
        <v>6</v>
      </c>
      <c r="G117">
        <v>270</v>
      </c>
      <c r="H117">
        <v>927.7</v>
      </c>
      <c r="I117" s="1">
        <v>45502</v>
      </c>
      <c r="J117">
        <v>206.8</v>
      </c>
      <c r="K117" s="1">
        <v>45012</v>
      </c>
      <c r="O117">
        <v>55</v>
      </c>
      <c r="P117" s="1">
        <v>44767</v>
      </c>
      <c r="Q117">
        <v>296.8</v>
      </c>
      <c r="R117">
        <v>56</v>
      </c>
      <c r="S117" s="1">
        <v>44768</v>
      </c>
      <c r="T117">
        <v>337</v>
      </c>
      <c r="U117">
        <v>56</v>
      </c>
      <c r="V117" s="1">
        <v>44768</v>
      </c>
      <c r="W117">
        <v>337</v>
      </c>
      <c r="X117">
        <v>59</v>
      </c>
      <c r="Y117" s="1">
        <v>44771</v>
      </c>
      <c r="Z117">
        <v>373.45</v>
      </c>
      <c r="AA117">
        <v>72</v>
      </c>
      <c r="AB117" s="1">
        <v>44784</v>
      </c>
      <c r="AC117">
        <v>398.9</v>
      </c>
      <c r="AD117">
        <v>353</v>
      </c>
      <c r="AE117" s="1">
        <v>45065</v>
      </c>
      <c r="AF117">
        <v>415</v>
      </c>
      <c r="AG117">
        <v>366</v>
      </c>
      <c r="AH117" s="1">
        <v>45078</v>
      </c>
      <c r="AI117">
        <v>440</v>
      </c>
      <c r="AJ117">
        <v>400</v>
      </c>
      <c r="AK117" s="1">
        <v>45112</v>
      </c>
      <c r="AL117">
        <v>471.95</v>
      </c>
      <c r="AM117">
        <v>406</v>
      </c>
      <c r="AN117" s="1">
        <v>45118</v>
      </c>
      <c r="AO117">
        <v>489.3</v>
      </c>
      <c r="AP117">
        <v>443</v>
      </c>
      <c r="AQ117" s="1">
        <v>45155</v>
      </c>
      <c r="AR117">
        <v>528.6</v>
      </c>
    </row>
    <row r="118" spans="1:44" x14ac:dyDescent="0.3">
      <c r="A118" t="s">
        <v>281</v>
      </c>
      <c r="B118" t="s">
        <v>282</v>
      </c>
      <c r="C118">
        <v>878</v>
      </c>
      <c r="D118" s="1">
        <v>44711</v>
      </c>
      <c r="E118">
        <v>2022</v>
      </c>
      <c r="F118">
        <v>5</v>
      </c>
      <c r="G118">
        <v>825</v>
      </c>
      <c r="H118">
        <v>3524.95</v>
      </c>
      <c r="I118" s="1">
        <v>45548</v>
      </c>
      <c r="J118">
        <v>707.45</v>
      </c>
      <c r="K118" s="1">
        <v>44718</v>
      </c>
      <c r="O118">
        <v>54</v>
      </c>
      <c r="P118" s="1">
        <v>44764</v>
      </c>
      <c r="Q118">
        <v>992.7</v>
      </c>
      <c r="R118">
        <v>59</v>
      </c>
      <c r="S118" s="1">
        <v>44769</v>
      </c>
      <c r="T118">
        <v>1075</v>
      </c>
      <c r="U118">
        <v>79</v>
      </c>
      <c r="V118" s="1">
        <v>44789</v>
      </c>
      <c r="W118">
        <v>1147</v>
      </c>
      <c r="X118">
        <v>323</v>
      </c>
      <c r="Y118" s="1">
        <v>45033</v>
      </c>
      <c r="Z118">
        <v>1246.5</v>
      </c>
      <c r="AA118">
        <v>334</v>
      </c>
      <c r="AB118" s="1">
        <v>45044</v>
      </c>
      <c r="AC118">
        <v>1339.55</v>
      </c>
      <c r="AD118">
        <v>348</v>
      </c>
      <c r="AE118" s="1">
        <v>45058</v>
      </c>
      <c r="AF118">
        <v>1477.95</v>
      </c>
      <c r="AG118">
        <v>400</v>
      </c>
      <c r="AH118" s="1">
        <v>45110</v>
      </c>
      <c r="AI118">
        <v>1513.85</v>
      </c>
      <c r="AJ118">
        <v>435</v>
      </c>
      <c r="AK118" s="1">
        <v>45145</v>
      </c>
      <c r="AL118">
        <v>1700</v>
      </c>
      <c r="AM118">
        <v>435</v>
      </c>
      <c r="AN118" s="1">
        <v>45145</v>
      </c>
      <c r="AO118">
        <v>1700</v>
      </c>
      <c r="AP118">
        <v>473</v>
      </c>
      <c r="AQ118" s="1">
        <v>45183</v>
      </c>
      <c r="AR118">
        <v>1798.45</v>
      </c>
    </row>
    <row r="119" spans="1:44" x14ac:dyDescent="0.3">
      <c r="A119" t="s">
        <v>283</v>
      </c>
      <c r="B119" t="s">
        <v>284</v>
      </c>
      <c r="C119">
        <v>42</v>
      </c>
      <c r="D119" s="1">
        <v>44708</v>
      </c>
      <c r="E119">
        <v>2022</v>
      </c>
      <c r="F119">
        <v>5</v>
      </c>
      <c r="G119">
        <v>44</v>
      </c>
      <c r="H119">
        <v>98.35</v>
      </c>
      <c r="I119" s="1">
        <v>45504</v>
      </c>
      <c r="J119">
        <v>37.450000000000003</v>
      </c>
      <c r="K119" s="1">
        <v>44736</v>
      </c>
      <c r="O119">
        <v>1</v>
      </c>
      <c r="P119" s="1">
        <v>44708</v>
      </c>
      <c r="Q119">
        <v>47.25</v>
      </c>
      <c r="R119">
        <v>60</v>
      </c>
      <c r="S119" s="1">
        <v>44767</v>
      </c>
      <c r="T119">
        <v>50.5</v>
      </c>
      <c r="U119">
        <v>67</v>
      </c>
      <c r="V119" s="1">
        <v>44774</v>
      </c>
      <c r="W119">
        <v>54.9</v>
      </c>
      <c r="X119">
        <v>98</v>
      </c>
      <c r="Y119" s="1">
        <v>44805</v>
      </c>
      <c r="Z119">
        <v>61.2</v>
      </c>
      <c r="AA119">
        <v>103</v>
      </c>
      <c r="AB119" s="1">
        <v>44810</v>
      </c>
      <c r="AC119">
        <v>63.65</v>
      </c>
      <c r="AD119">
        <v>111</v>
      </c>
      <c r="AE119" s="1">
        <v>44818</v>
      </c>
      <c r="AF119">
        <v>67.25</v>
      </c>
      <c r="AG119">
        <v>112</v>
      </c>
      <c r="AH119" s="1">
        <v>44819</v>
      </c>
      <c r="AI119">
        <v>72</v>
      </c>
      <c r="AJ119">
        <v>586</v>
      </c>
      <c r="AK119" s="1">
        <v>45293</v>
      </c>
      <c r="AL119">
        <v>77.45</v>
      </c>
      <c r="AM119">
        <v>587</v>
      </c>
      <c r="AN119" s="1">
        <v>45294</v>
      </c>
      <c r="AO119">
        <v>80.95</v>
      </c>
      <c r="AP119">
        <v>623</v>
      </c>
      <c r="AQ119" s="1">
        <v>45330</v>
      </c>
      <c r="AR119">
        <v>85.9</v>
      </c>
    </row>
    <row r="120" spans="1:44" x14ac:dyDescent="0.3">
      <c r="A120" t="s">
        <v>285</v>
      </c>
      <c r="B120" t="s">
        <v>286</v>
      </c>
      <c r="C120">
        <v>487</v>
      </c>
      <c r="D120" s="1">
        <v>44705</v>
      </c>
      <c r="E120">
        <v>2022</v>
      </c>
      <c r="F120">
        <v>5</v>
      </c>
      <c r="G120">
        <v>495.2</v>
      </c>
      <c r="H120">
        <v>708</v>
      </c>
      <c r="I120" s="1">
        <v>44763</v>
      </c>
      <c r="J120">
        <v>291</v>
      </c>
      <c r="K120" s="1">
        <v>44953</v>
      </c>
      <c r="O120">
        <v>1</v>
      </c>
      <c r="P120" s="1">
        <v>44705</v>
      </c>
      <c r="Q120">
        <v>568.9</v>
      </c>
      <c r="R120">
        <v>10</v>
      </c>
      <c r="S120" s="1">
        <v>44714</v>
      </c>
      <c r="T120">
        <v>617.35</v>
      </c>
      <c r="U120">
        <v>57</v>
      </c>
      <c r="V120" s="1">
        <v>44761</v>
      </c>
      <c r="W120">
        <v>645</v>
      </c>
      <c r="X120">
        <v>58</v>
      </c>
      <c r="Y120" s="1">
        <v>44762</v>
      </c>
      <c r="Z120">
        <v>683</v>
      </c>
    </row>
    <row r="121" spans="1:44" x14ac:dyDescent="0.3">
      <c r="A121" t="s">
        <v>287</v>
      </c>
      <c r="B121" t="s">
        <v>288</v>
      </c>
      <c r="C121">
        <v>630</v>
      </c>
      <c r="D121" s="1">
        <v>44701</v>
      </c>
      <c r="E121">
        <v>2022</v>
      </c>
      <c r="F121">
        <v>5</v>
      </c>
      <c r="G121">
        <v>650</v>
      </c>
      <c r="H121">
        <v>2737.7</v>
      </c>
      <c r="I121" s="1">
        <v>45518</v>
      </c>
      <c r="J121">
        <v>466.6</v>
      </c>
      <c r="K121" s="1">
        <v>44775</v>
      </c>
      <c r="O121">
        <v>112</v>
      </c>
      <c r="P121" s="1">
        <v>44812</v>
      </c>
      <c r="Q121">
        <v>694</v>
      </c>
      <c r="R121">
        <v>167</v>
      </c>
      <c r="S121" s="1">
        <v>44867</v>
      </c>
      <c r="T121">
        <v>840.2</v>
      </c>
      <c r="U121">
        <v>167</v>
      </c>
      <c r="V121" s="1">
        <v>44867</v>
      </c>
      <c r="W121">
        <v>840.2</v>
      </c>
      <c r="X121">
        <v>194</v>
      </c>
      <c r="Y121" s="1">
        <v>44894</v>
      </c>
      <c r="Z121">
        <v>897.3</v>
      </c>
      <c r="AA121">
        <v>197</v>
      </c>
      <c r="AB121" s="1">
        <v>44897</v>
      </c>
      <c r="AC121">
        <v>955</v>
      </c>
      <c r="AD121">
        <v>202</v>
      </c>
      <c r="AE121" s="1">
        <v>44902</v>
      </c>
      <c r="AF121">
        <v>1024.9000000000001</v>
      </c>
      <c r="AG121">
        <v>228</v>
      </c>
      <c r="AH121" s="1">
        <v>44928</v>
      </c>
      <c r="AI121">
        <v>1087.95</v>
      </c>
      <c r="AJ121">
        <v>428</v>
      </c>
      <c r="AK121" s="1">
        <v>45128</v>
      </c>
      <c r="AL121">
        <v>1237</v>
      </c>
      <c r="AM121">
        <v>428</v>
      </c>
      <c r="AN121" s="1">
        <v>45128</v>
      </c>
      <c r="AO121">
        <v>1237</v>
      </c>
      <c r="AP121">
        <v>448</v>
      </c>
      <c r="AQ121" s="1">
        <v>45148</v>
      </c>
      <c r="AR121">
        <v>1262.1500000000001</v>
      </c>
    </row>
    <row r="122" spans="1:44" x14ac:dyDescent="0.3">
      <c r="A122" t="s">
        <v>289</v>
      </c>
      <c r="B122" t="s">
        <v>290</v>
      </c>
      <c r="C122">
        <v>949</v>
      </c>
      <c r="D122" s="1">
        <v>44698</v>
      </c>
      <c r="E122">
        <v>2022</v>
      </c>
      <c r="F122">
        <v>5</v>
      </c>
      <c r="G122">
        <v>872</v>
      </c>
      <c r="H122">
        <v>1222</v>
      </c>
      <c r="I122" s="1">
        <v>45505</v>
      </c>
      <c r="J122">
        <v>530.04999999999995</v>
      </c>
      <c r="K122" s="1">
        <v>45014</v>
      </c>
      <c r="O122">
        <v>632</v>
      </c>
      <c r="P122" s="1">
        <v>45329</v>
      </c>
      <c r="Q122">
        <v>1050</v>
      </c>
      <c r="R122">
        <v>633</v>
      </c>
      <c r="S122" s="1">
        <v>45330</v>
      </c>
      <c r="T122">
        <v>1145</v>
      </c>
    </row>
    <row r="123" spans="1:44" x14ac:dyDescent="0.3">
      <c r="A123" t="s">
        <v>291</v>
      </c>
      <c r="B123" t="s">
        <v>292</v>
      </c>
      <c r="C123">
        <v>542</v>
      </c>
      <c r="D123" s="1">
        <v>44691</v>
      </c>
      <c r="E123">
        <v>2022</v>
      </c>
      <c r="F123">
        <v>5</v>
      </c>
      <c r="G123">
        <v>510</v>
      </c>
      <c r="H123">
        <v>1649</v>
      </c>
      <c r="I123" s="1">
        <v>45418</v>
      </c>
      <c r="J123">
        <v>410</v>
      </c>
      <c r="K123" s="1">
        <v>44698</v>
      </c>
      <c r="O123">
        <v>95</v>
      </c>
      <c r="P123" s="1">
        <v>44785</v>
      </c>
      <c r="Q123">
        <v>597.9</v>
      </c>
      <c r="R123">
        <v>133</v>
      </c>
      <c r="S123" s="1">
        <v>44823</v>
      </c>
      <c r="T123">
        <v>655</v>
      </c>
      <c r="U123">
        <v>165</v>
      </c>
      <c r="V123" s="1">
        <v>44855</v>
      </c>
      <c r="W123">
        <v>704.9</v>
      </c>
      <c r="X123">
        <v>179</v>
      </c>
      <c r="Y123" s="1">
        <v>44869</v>
      </c>
      <c r="Z123">
        <v>864.4</v>
      </c>
      <c r="AA123">
        <v>179</v>
      </c>
      <c r="AB123" s="1">
        <v>44869</v>
      </c>
      <c r="AC123">
        <v>864.4</v>
      </c>
      <c r="AD123">
        <v>185</v>
      </c>
      <c r="AE123" s="1">
        <v>44875</v>
      </c>
      <c r="AF123">
        <v>884.4</v>
      </c>
      <c r="AG123">
        <v>373</v>
      </c>
      <c r="AH123" s="1">
        <v>45063</v>
      </c>
      <c r="AI123">
        <v>930.95</v>
      </c>
      <c r="AJ123">
        <v>385</v>
      </c>
      <c r="AK123" s="1">
        <v>45075</v>
      </c>
      <c r="AL123">
        <v>996.6</v>
      </c>
      <c r="AM123">
        <v>424</v>
      </c>
      <c r="AN123" s="1">
        <v>45114</v>
      </c>
      <c r="AO123">
        <v>1049</v>
      </c>
      <c r="AP123">
        <v>429</v>
      </c>
      <c r="AQ123" s="1">
        <v>45119</v>
      </c>
      <c r="AR123">
        <v>1096.7</v>
      </c>
    </row>
    <row r="124" spans="1:44" x14ac:dyDescent="0.3">
      <c r="A124" t="s">
        <v>293</v>
      </c>
      <c r="B124" t="s">
        <v>294</v>
      </c>
      <c r="C124">
        <v>292</v>
      </c>
      <c r="D124" s="1">
        <v>44690</v>
      </c>
      <c r="E124">
        <v>2022</v>
      </c>
      <c r="F124">
        <v>5</v>
      </c>
      <c r="G124">
        <v>360</v>
      </c>
      <c r="H124">
        <v>639.29999999999995</v>
      </c>
      <c r="I124" s="1">
        <v>44853</v>
      </c>
      <c r="J124">
        <v>213</v>
      </c>
      <c r="K124" s="1">
        <v>45379</v>
      </c>
      <c r="O124">
        <v>1</v>
      </c>
      <c r="P124" s="1">
        <v>44690</v>
      </c>
      <c r="Q124">
        <v>418</v>
      </c>
      <c r="R124">
        <v>1</v>
      </c>
      <c r="S124" s="1">
        <v>44690</v>
      </c>
      <c r="T124">
        <v>418</v>
      </c>
      <c r="U124">
        <v>1</v>
      </c>
      <c r="V124" s="1">
        <v>44690</v>
      </c>
      <c r="W124">
        <v>418</v>
      </c>
      <c r="X124">
        <v>1</v>
      </c>
      <c r="Y124" s="1">
        <v>44690</v>
      </c>
      <c r="Z124">
        <v>418</v>
      </c>
      <c r="AA124">
        <v>81</v>
      </c>
      <c r="AB124" s="1">
        <v>44770</v>
      </c>
      <c r="AC124">
        <v>449</v>
      </c>
      <c r="AD124">
        <v>103</v>
      </c>
      <c r="AE124" s="1">
        <v>44792</v>
      </c>
      <c r="AF124">
        <v>501.5</v>
      </c>
      <c r="AG124">
        <v>103</v>
      </c>
      <c r="AH124" s="1">
        <v>44792</v>
      </c>
      <c r="AI124">
        <v>501.5</v>
      </c>
      <c r="AJ124">
        <v>127</v>
      </c>
      <c r="AK124" s="1">
        <v>44816</v>
      </c>
      <c r="AL124">
        <v>547.79999999999995</v>
      </c>
      <c r="AM124">
        <v>128</v>
      </c>
      <c r="AN124" s="1">
        <v>44817</v>
      </c>
      <c r="AO124">
        <v>562.5</v>
      </c>
      <c r="AP124">
        <v>134</v>
      </c>
      <c r="AQ124" s="1">
        <v>44823</v>
      </c>
      <c r="AR124">
        <v>602</v>
      </c>
    </row>
    <row r="125" spans="1:44" x14ac:dyDescent="0.3">
      <c r="A125" t="s">
        <v>295</v>
      </c>
      <c r="B125" t="s">
        <v>296</v>
      </c>
      <c r="C125">
        <v>866</v>
      </c>
      <c r="D125" s="1">
        <v>44608</v>
      </c>
      <c r="E125">
        <v>2022</v>
      </c>
      <c r="F125">
        <v>2</v>
      </c>
      <c r="G125">
        <v>935</v>
      </c>
      <c r="H125">
        <v>1501.55</v>
      </c>
      <c r="I125" s="1">
        <v>44840</v>
      </c>
      <c r="J125">
        <v>790.2</v>
      </c>
      <c r="K125" s="1">
        <v>44616</v>
      </c>
      <c r="O125">
        <v>1</v>
      </c>
      <c r="P125" s="1">
        <v>44608</v>
      </c>
      <c r="Q125">
        <v>992.7</v>
      </c>
      <c r="R125">
        <v>48</v>
      </c>
      <c r="S125" s="1">
        <v>44655</v>
      </c>
      <c r="T125">
        <v>1060.0999999999999</v>
      </c>
      <c r="U125">
        <v>65</v>
      </c>
      <c r="V125" s="1">
        <v>44672</v>
      </c>
      <c r="W125">
        <v>1136.3</v>
      </c>
      <c r="X125">
        <v>168</v>
      </c>
      <c r="Y125" s="1">
        <v>44775</v>
      </c>
      <c r="Z125">
        <v>1251.9000000000001</v>
      </c>
      <c r="AA125">
        <v>192</v>
      </c>
      <c r="AB125" s="1">
        <v>44799</v>
      </c>
      <c r="AC125">
        <v>1314.6</v>
      </c>
      <c r="AD125">
        <v>204</v>
      </c>
      <c r="AE125" s="1">
        <v>44811</v>
      </c>
      <c r="AF125">
        <v>1398</v>
      </c>
      <c r="AG125">
        <v>230</v>
      </c>
      <c r="AH125" s="1">
        <v>44837</v>
      </c>
      <c r="AI125">
        <v>1475</v>
      </c>
    </row>
    <row r="126" spans="1:44" x14ac:dyDescent="0.3">
      <c r="A126" t="s">
        <v>297</v>
      </c>
      <c r="B126" t="s">
        <v>298</v>
      </c>
      <c r="C126">
        <v>230</v>
      </c>
      <c r="D126" s="1">
        <v>44600</v>
      </c>
      <c r="E126">
        <v>2022</v>
      </c>
      <c r="F126">
        <v>2</v>
      </c>
      <c r="G126">
        <v>227</v>
      </c>
      <c r="H126">
        <v>878</v>
      </c>
      <c r="I126" s="1">
        <v>44679</v>
      </c>
      <c r="J126">
        <v>227</v>
      </c>
      <c r="K126" s="1">
        <v>44600</v>
      </c>
      <c r="O126">
        <v>1</v>
      </c>
      <c r="P126" s="1">
        <v>44600</v>
      </c>
      <c r="Q126">
        <v>271.25</v>
      </c>
      <c r="R126">
        <v>2</v>
      </c>
      <c r="S126" s="1">
        <v>44601</v>
      </c>
      <c r="T126">
        <v>321.89999999999998</v>
      </c>
      <c r="U126">
        <v>2</v>
      </c>
      <c r="V126" s="1">
        <v>44601</v>
      </c>
      <c r="W126">
        <v>321.89999999999998</v>
      </c>
      <c r="X126">
        <v>3</v>
      </c>
      <c r="Y126" s="1">
        <v>44602</v>
      </c>
      <c r="Z126">
        <v>386.25</v>
      </c>
      <c r="AA126">
        <v>3</v>
      </c>
      <c r="AB126" s="1">
        <v>44602</v>
      </c>
      <c r="AC126">
        <v>386.25</v>
      </c>
      <c r="AD126">
        <v>3</v>
      </c>
      <c r="AE126" s="1">
        <v>44602</v>
      </c>
      <c r="AF126">
        <v>386.25</v>
      </c>
      <c r="AG126">
        <v>4</v>
      </c>
      <c r="AH126" s="1">
        <v>44603</v>
      </c>
      <c r="AI126">
        <v>419.9</v>
      </c>
      <c r="AJ126">
        <v>4</v>
      </c>
      <c r="AK126" s="1">
        <v>44603</v>
      </c>
      <c r="AL126">
        <v>419.9</v>
      </c>
      <c r="AM126">
        <v>49</v>
      </c>
      <c r="AN126" s="1">
        <v>44648</v>
      </c>
      <c r="AO126">
        <v>461.15</v>
      </c>
      <c r="AP126">
        <v>49</v>
      </c>
      <c r="AQ126" s="1">
        <v>44648</v>
      </c>
      <c r="AR126">
        <v>461.15</v>
      </c>
    </row>
    <row r="127" spans="1:44" x14ac:dyDescent="0.3">
      <c r="A127" t="s">
        <v>299</v>
      </c>
      <c r="B127" t="s">
        <v>300</v>
      </c>
      <c r="C127">
        <v>175</v>
      </c>
      <c r="D127" s="1">
        <v>44592</v>
      </c>
      <c r="E127">
        <v>2022</v>
      </c>
      <c r="F127">
        <v>1</v>
      </c>
      <c r="G127">
        <v>175</v>
      </c>
      <c r="H127">
        <v>181.85</v>
      </c>
      <c r="I127" s="1">
        <v>44592</v>
      </c>
      <c r="J127">
        <v>44.45</v>
      </c>
      <c r="K127" s="1">
        <v>45016</v>
      </c>
    </row>
    <row r="128" spans="1:44" x14ac:dyDescent="0.3">
      <c r="A128" t="s">
        <v>301</v>
      </c>
      <c r="B128" t="s">
        <v>302</v>
      </c>
      <c r="C128">
        <v>216</v>
      </c>
      <c r="D128" s="1">
        <v>44561</v>
      </c>
      <c r="E128">
        <v>2021</v>
      </c>
      <c r="F128">
        <v>12</v>
      </c>
      <c r="G128">
        <v>220.2</v>
      </c>
      <c r="H128">
        <v>601.9</v>
      </c>
      <c r="I128" s="1">
        <v>45524</v>
      </c>
      <c r="J128">
        <v>210.4</v>
      </c>
      <c r="K128" s="1">
        <v>44739</v>
      </c>
      <c r="O128">
        <v>1</v>
      </c>
      <c r="P128" s="1">
        <v>44561</v>
      </c>
      <c r="Q128">
        <v>259.60000000000002</v>
      </c>
      <c r="R128">
        <v>1</v>
      </c>
      <c r="S128" s="1">
        <v>44561</v>
      </c>
      <c r="T128">
        <v>259.60000000000002</v>
      </c>
      <c r="U128">
        <v>8</v>
      </c>
      <c r="V128" s="1">
        <v>44568</v>
      </c>
      <c r="W128">
        <v>283</v>
      </c>
      <c r="X128">
        <v>18</v>
      </c>
      <c r="Y128" s="1">
        <v>44578</v>
      </c>
      <c r="Z128">
        <v>317.45</v>
      </c>
      <c r="AA128">
        <v>299</v>
      </c>
      <c r="AB128" s="1">
        <v>44859</v>
      </c>
      <c r="AC128">
        <v>335.9</v>
      </c>
      <c r="AD128">
        <v>307</v>
      </c>
      <c r="AE128" s="1">
        <v>44867</v>
      </c>
      <c r="AF128">
        <v>349.5</v>
      </c>
      <c r="AG128">
        <v>545</v>
      </c>
      <c r="AH128" s="1">
        <v>45105</v>
      </c>
      <c r="AI128">
        <v>375</v>
      </c>
      <c r="AJ128">
        <v>560</v>
      </c>
      <c r="AK128" s="1">
        <v>45120</v>
      </c>
      <c r="AL128">
        <v>393</v>
      </c>
      <c r="AM128">
        <v>699</v>
      </c>
      <c r="AN128" s="1">
        <v>45259</v>
      </c>
      <c r="AO128">
        <v>421.4</v>
      </c>
      <c r="AP128">
        <v>852</v>
      </c>
      <c r="AQ128" s="1">
        <v>45412</v>
      </c>
      <c r="AR128">
        <v>434</v>
      </c>
    </row>
    <row r="129" spans="1:44" x14ac:dyDescent="0.3">
      <c r="A129" t="s">
        <v>303</v>
      </c>
      <c r="B129" t="s">
        <v>304</v>
      </c>
      <c r="C129">
        <v>274</v>
      </c>
      <c r="D129" s="1">
        <v>44558</v>
      </c>
      <c r="E129">
        <v>2021</v>
      </c>
      <c r="F129">
        <v>12</v>
      </c>
      <c r="G129">
        <v>421</v>
      </c>
      <c r="H129">
        <v>675</v>
      </c>
      <c r="I129" s="1">
        <v>45551</v>
      </c>
      <c r="J129">
        <v>170.15</v>
      </c>
      <c r="K129" s="1">
        <v>45012</v>
      </c>
      <c r="O129">
        <v>1</v>
      </c>
      <c r="P129" s="1">
        <v>44558</v>
      </c>
      <c r="Q129">
        <v>421</v>
      </c>
      <c r="R129">
        <v>1</v>
      </c>
      <c r="S129" s="1">
        <v>44558</v>
      </c>
      <c r="T129">
        <v>421</v>
      </c>
      <c r="U129">
        <v>1</v>
      </c>
      <c r="V129" s="1">
        <v>44558</v>
      </c>
      <c r="W129">
        <v>421</v>
      </c>
      <c r="X129">
        <v>1</v>
      </c>
      <c r="Y129" s="1">
        <v>44558</v>
      </c>
      <c r="Z129">
        <v>421</v>
      </c>
      <c r="AA129">
        <v>1</v>
      </c>
      <c r="AB129" s="1">
        <v>44558</v>
      </c>
      <c r="AC129">
        <v>421</v>
      </c>
      <c r="AD129">
        <v>2</v>
      </c>
      <c r="AE129" s="1">
        <v>44559</v>
      </c>
      <c r="AF129">
        <v>469</v>
      </c>
      <c r="AG129">
        <v>2</v>
      </c>
      <c r="AH129" s="1">
        <v>44559</v>
      </c>
      <c r="AI129">
        <v>469</v>
      </c>
      <c r="AJ129">
        <v>3</v>
      </c>
      <c r="AK129" s="1">
        <v>44560</v>
      </c>
      <c r="AL129">
        <v>527.85</v>
      </c>
      <c r="AM129">
        <v>3</v>
      </c>
      <c r="AN129" s="1">
        <v>44560</v>
      </c>
      <c r="AO129">
        <v>527.85</v>
      </c>
      <c r="AP129">
        <v>22</v>
      </c>
      <c r="AQ129" s="1">
        <v>44579</v>
      </c>
      <c r="AR129">
        <v>601.9</v>
      </c>
    </row>
    <row r="130" spans="1:44" x14ac:dyDescent="0.3">
      <c r="A130" t="s">
        <v>305</v>
      </c>
      <c r="B130" t="s">
        <v>306</v>
      </c>
      <c r="C130">
        <v>585</v>
      </c>
      <c r="D130" s="1">
        <v>44554</v>
      </c>
      <c r="E130">
        <v>2021</v>
      </c>
      <c r="F130">
        <v>12</v>
      </c>
      <c r="G130">
        <v>856.05</v>
      </c>
      <c r="H130">
        <v>3655</v>
      </c>
      <c r="I130" s="1">
        <v>45478</v>
      </c>
      <c r="J130">
        <v>575</v>
      </c>
      <c r="K130" s="1">
        <v>44616</v>
      </c>
      <c r="O130">
        <v>1</v>
      </c>
      <c r="P130" s="1">
        <v>44554</v>
      </c>
      <c r="Q130">
        <v>864</v>
      </c>
      <c r="R130">
        <v>1</v>
      </c>
      <c r="S130" s="1">
        <v>44554</v>
      </c>
      <c r="T130">
        <v>864</v>
      </c>
      <c r="U130">
        <v>1</v>
      </c>
      <c r="V130" s="1">
        <v>44554</v>
      </c>
      <c r="W130">
        <v>864</v>
      </c>
      <c r="X130">
        <v>1</v>
      </c>
      <c r="Y130" s="1">
        <v>44554</v>
      </c>
      <c r="Z130">
        <v>864</v>
      </c>
      <c r="AA130">
        <v>109</v>
      </c>
      <c r="AB130" s="1">
        <v>44662</v>
      </c>
      <c r="AC130">
        <v>898</v>
      </c>
      <c r="AD130">
        <v>246</v>
      </c>
      <c r="AE130" s="1">
        <v>44799</v>
      </c>
      <c r="AF130">
        <v>974</v>
      </c>
      <c r="AG130">
        <v>249</v>
      </c>
      <c r="AH130" s="1">
        <v>44802</v>
      </c>
      <c r="AI130">
        <v>1094</v>
      </c>
      <c r="AJ130">
        <v>249</v>
      </c>
      <c r="AK130" s="1">
        <v>44802</v>
      </c>
      <c r="AL130">
        <v>1094</v>
      </c>
      <c r="AM130">
        <v>252</v>
      </c>
      <c r="AN130" s="1">
        <v>44805</v>
      </c>
      <c r="AO130">
        <v>1116.45</v>
      </c>
      <c r="AP130">
        <v>259</v>
      </c>
      <c r="AQ130" s="1">
        <v>44812</v>
      </c>
      <c r="AR130">
        <v>1202</v>
      </c>
    </row>
    <row r="131" spans="1:44" x14ac:dyDescent="0.3">
      <c r="A131" t="s">
        <v>307</v>
      </c>
      <c r="B131" t="s">
        <v>308</v>
      </c>
      <c r="C131">
        <v>796</v>
      </c>
      <c r="D131" s="1">
        <v>44553</v>
      </c>
      <c r="E131">
        <v>2021</v>
      </c>
      <c r="F131">
        <v>12</v>
      </c>
      <c r="G131">
        <v>1040</v>
      </c>
      <c r="H131">
        <v>1343</v>
      </c>
      <c r="I131" s="1">
        <v>44581</v>
      </c>
      <c r="J131">
        <v>548.25</v>
      </c>
      <c r="K131" s="1">
        <v>44896</v>
      </c>
      <c r="O131">
        <v>1</v>
      </c>
      <c r="P131" s="1">
        <v>44553</v>
      </c>
      <c r="Q131">
        <v>1143.9000000000001</v>
      </c>
      <c r="R131">
        <v>1</v>
      </c>
      <c r="S131" s="1">
        <v>44553</v>
      </c>
      <c r="T131">
        <v>1143.9000000000001</v>
      </c>
      <c r="U131">
        <v>1</v>
      </c>
      <c r="V131" s="1">
        <v>44553</v>
      </c>
      <c r="W131">
        <v>1143.9000000000001</v>
      </c>
      <c r="X131">
        <v>1</v>
      </c>
      <c r="Y131" s="1">
        <v>44553</v>
      </c>
      <c r="Z131">
        <v>1143.9000000000001</v>
      </c>
      <c r="AA131">
        <v>26</v>
      </c>
      <c r="AB131" s="1">
        <v>44578</v>
      </c>
      <c r="AC131">
        <v>1222.2</v>
      </c>
      <c r="AD131">
        <v>29</v>
      </c>
      <c r="AE131" s="1">
        <v>44581</v>
      </c>
      <c r="AF131">
        <v>1343</v>
      </c>
    </row>
    <row r="132" spans="1:44" x14ac:dyDescent="0.3">
      <c r="A132" t="s">
        <v>309</v>
      </c>
      <c r="B132" t="s">
        <v>310</v>
      </c>
      <c r="C132">
        <v>500</v>
      </c>
      <c r="D132" s="1">
        <v>44552</v>
      </c>
      <c r="E132">
        <v>2021</v>
      </c>
      <c r="F132">
        <v>12</v>
      </c>
      <c r="G132">
        <v>437</v>
      </c>
      <c r="H132">
        <v>1441.2</v>
      </c>
      <c r="I132" s="1">
        <v>45260</v>
      </c>
      <c r="J132">
        <v>426</v>
      </c>
      <c r="K132" s="1">
        <v>44552</v>
      </c>
      <c r="O132">
        <v>27</v>
      </c>
      <c r="P132" s="1">
        <v>44578</v>
      </c>
      <c r="Q132">
        <v>609.5</v>
      </c>
      <c r="R132">
        <v>27</v>
      </c>
      <c r="S132" s="1">
        <v>44578</v>
      </c>
      <c r="T132">
        <v>609.5</v>
      </c>
      <c r="U132">
        <v>28</v>
      </c>
      <c r="V132" s="1">
        <v>44579</v>
      </c>
      <c r="W132">
        <v>673</v>
      </c>
      <c r="X132">
        <v>223</v>
      </c>
      <c r="Y132" s="1">
        <v>44774</v>
      </c>
      <c r="Z132">
        <v>761.75</v>
      </c>
      <c r="AA132">
        <v>223</v>
      </c>
      <c r="AB132" s="1">
        <v>44774</v>
      </c>
      <c r="AC132">
        <v>761.75</v>
      </c>
      <c r="AD132">
        <v>233</v>
      </c>
      <c r="AE132" s="1">
        <v>44784</v>
      </c>
      <c r="AF132">
        <v>939.9</v>
      </c>
      <c r="AG132">
        <v>233</v>
      </c>
      <c r="AH132" s="1">
        <v>44784</v>
      </c>
      <c r="AI132">
        <v>939.9</v>
      </c>
      <c r="AJ132">
        <v>233</v>
      </c>
      <c r="AK132" s="1">
        <v>44784</v>
      </c>
      <c r="AL132">
        <v>939.9</v>
      </c>
      <c r="AM132">
        <v>286</v>
      </c>
      <c r="AN132" s="1">
        <v>44837</v>
      </c>
      <c r="AO132">
        <v>968.95</v>
      </c>
      <c r="AP132">
        <v>528</v>
      </c>
      <c r="AQ132" s="1">
        <v>45079</v>
      </c>
      <c r="AR132">
        <v>1013</v>
      </c>
    </row>
    <row r="133" spans="1:44" x14ac:dyDescent="0.3">
      <c r="A133" t="s">
        <v>311</v>
      </c>
      <c r="B133" t="s">
        <v>312</v>
      </c>
      <c r="C133">
        <v>1033</v>
      </c>
      <c r="D133" s="1">
        <v>44551</v>
      </c>
      <c r="E133">
        <v>2021</v>
      </c>
      <c r="F133">
        <v>12</v>
      </c>
      <c r="G133">
        <v>1565</v>
      </c>
      <c r="H133">
        <v>2747.85</v>
      </c>
      <c r="I133" s="1">
        <v>45464</v>
      </c>
      <c r="J133">
        <v>984.05</v>
      </c>
      <c r="K133" s="1">
        <v>45040</v>
      </c>
      <c r="O133">
        <v>1</v>
      </c>
      <c r="P133" s="1">
        <v>44551</v>
      </c>
      <c r="Q133">
        <v>1590</v>
      </c>
      <c r="R133">
        <v>1</v>
      </c>
      <c r="S133" s="1">
        <v>44551</v>
      </c>
      <c r="T133">
        <v>1590</v>
      </c>
      <c r="U133">
        <v>1</v>
      </c>
      <c r="V133" s="1">
        <v>44551</v>
      </c>
      <c r="W133">
        <v>1590</v>
      </c>
      <c r="X133">
        <v>1</v>
      </c>
      <c r="Y133" s="1">
        <v>44551</v>
      </c>
      <c r="Z133">
        <v>1590</v>
      </c>
      <c r="AA133">
        <v>1</v>
      </c>
      <c r="AB133" s="1">
        <v>44551</v>
      </c>
      <c r="AC133">
        <v>1590</v>
      </c>
      <c r="AD133">
        <v>9</v>
      </c>
      <c r="AE133" s="1">
        <v>44559</v>
      </c>
      <c r="AF133">
        <v>1777</v>
      </c>
      <c r="AG133">
        <v>9</v>
      </c>
      <c r="AH133" s="1">
        <v>44559</v>
      </c>
      <c r="AI133">
        <v>1777</v>
      </c>
      <c r="AJ133">
        <v>15</v>
      </c>
      <c r="AK133" s="1">
        <v>44565</v>
      </c>
      <c r="AL133">
        <v>1876.4</v>
      </c>
      <c r="AM133">
        <v>648</v>
      </c>
      <c r="AN133" s="1">
        <v>45198</v>
      </c>
      <c r="AO133">
        <v>2053</v>
      </c>
      <c r="AP133">
        <v>652</v>
      </c>
      <c r="AQ133" s="1">
        <v>45202</v>
      </c>
      <c r="AR133">
        <v>2155</v>
      </c>
    </row>
    <row r="134" spans="1:44" x14ac:dyDescent="0.3">
      <c r="A134" t="s">
        <v>313</v>
      </c>
      <c r="B134" t="s">
        <v>314</v>
      </c>
      <c r="C134">
        <v>118</v>
      </c>
      <c r="D134" s="1">
        <v>44550</v>
      </c>
      <c r="E134">
        <v>2021</v>
      </c>
      <c r="F134">
        <v>12</v>
      </c>
      <c r="G134">
        <v>90</v>
      </c>
      <c r="H134">
        <v>147.6</v>
      </c>
      <c r="I134" s="1">
        <v>45540</v>
      </c>
      <c r="J134">
        <v>53</v>
      </c>
      <c r="K134" s="1">
        <v>45013</v>
      </c>
      <c r="O134">
        <v>745</v>
      </c>
      <c r="P134" s="1">
        <v>45294</v>
      </c>
      <c r="Q134">
        <v>131.80000000000001</v>
      </c>
      <c r="R134">
        <v>983</v>
      </c>
      <c r="S134" s="1">
        <v>45532</v>
      </c>
      <c r="T134">
        <v>141.88999999999999</v>
      </c>
    </row>
    <row r="135" spans="1:44" x14ac:dyDescent="0.3">
      <c r="A135" t="s">
        <v>315</v>
      </c>
      <c r="B135" t="s">
        <v>316</v>
      </c>
      <c r="C135">
        <v>425</v>
      </c>
      <c r="D135" s="1">
        <v>44547</v>
      </c>
      <c r="E135">
        <v>2021</v>
      </c>
      <c r="F135">
        <v>12</v>
      </c>
      <c r="G135">
        <v>360</v>
      </c>
      <c r="H135">
        <v>921.7</v>
      </c>
      <c r="I135" s="1">
        <v>45338</v>
      </c>
      <c r="J135">
        <v>235</v>
      </c>
      <c r="K135" s="1">
        <v>44742</v>
      </c>
      <c r="O135">
        <v>29</v>
      </c>
      <c r="P135" s="1">
        <v>44575</v>
      </c>
      <c r="Q135">
        <v>503.3</v>
      </c>
      <c r="R135">
        <v>33</v>
      </c>
      <c r="S135" s="1">
        <v>44579</v>
      </c>
      <c r="T135">
        <v>525</v>
      </c>
      <c r="U135">
        <v>600</v>
      </c>
      <c r="V135" s="1">
        <v>45146</v>
      </c>
      <c r="W135">
        <v>577.70000000000005</v>
      </c>
      <c r="X135">
        <v>609</v>
      </c>
      <c r="Y135" s="1">
        <v>45155</v>
      </c>
      <c r="Z135">
        <v>605</v>
      </c>
      <c r="AA135">
        <v>629</v>
      </c>
      <c r="AB135" s="1">
        <v>45175</v>
      </c>
      <c r="AC135">
        <v>641.6</v>
      </c>
      <c r="AD135">
        <v>686</v>
      </c>
      <c r="AE135" s="1">
        <v>45232</v>
      </c>
      <c r="AF135">
        <v>682</v>
      </c>
      <c r="AG135">
        <v>697</v>
      </c>
      <c r="AH135" s="1">
        <v>45243</v>
      </c>
      <c r="AI135">
        <v>729.2</v>
      </c>
      <c r="AJ135">
        <v>736</v>
      </c>
      <c r="AK135" s="1">
        <v>45282</v>
      </c>
      <c r="AL135">
        <v>772.95</v>
      </c>
      <c r="AM135">
        <v>775</v>
      </c>
      <c r="AN135" s="1">
        <v>45321</v>
      </c>
      <c r="AO135">
        <v>821.65</v>
      </c>
      <c r="AP135">
        <v>778</v>
      </c>
      <c r="AQ135" s="1">
        <v>45324</v>
      </c>
      <c r="AR135">
        <v>887.45</v>
      </c>
    </row>
    <row r="136" spans="1:44" x14ac:dyDescent="0.3">
      <c r="A136" t="s">
        <v>317</v>
      </c>
      <c r="B136" t="s">
        <v>318</v>
      </c>
      <c r="C136">
        <v>550</v>
      </c>
      <c r="D136" s="1">
        <v>44544</v>
      </c>
      <c r="E136">
        <v>2021</v>
      </c>
      <c r="F136">
        <v>12</v>
      </c>
      <c r="G136">
        <v>600</v>
      </c>
      <c r="H136">
        <v>4299.95</v>
      </c>
      <c r="I136" s="1">
        <v>45446</v>
      </c>
      <c r="J136">
        <v>542.04999999999995</v>
      </c>
      <c r="K136" s="1">
        <v>44616</v>
      </c>
      <c r="O136">
        <v>1</v>
      </c>
      <c r="P136" s="1">
        <v>44544</v>
      </c>
      <c r="Q136">
        <v>615</v>
      </c>
      <c r="R136">
        <v>121</v>
      </c>
      <c r="S136" s="1">
        <v>44664</v>
      </c>
      <c r="T136">
        <v>721.35</v>
      </c>
      <c r="U136">
        <v>121</v>
      </c>
      <c r="V136" s="1">
        <v>44664</v>
      </c>
      <c r="W136">
        <v>721.35</v>
      </c>
      <c r="X136">
        <v>396</v>
      </c>
      <c r="Y136" s="1">
        <v>44939</v>
      </c>
      <c r="Z136">
        <v>780</v>
      </c>
      <c r="AA136">
        <v>400</v>
      </c>
      <c r="AB136" s="1">
        <v>44943</v>
      </c>
      <c r="AC136">
        <v>844.7</v>
      </c>
      <c r="AD136">
        <v>486</v>
      </c>
      <c r="AE136" s="1">
        <v>45029</v>
      </c>
      <c r="AF136">
        <v>884.55</v>
      </c>
      <c r="AG136">
        <v>574</v>
      </c>
      <c r="AH136" s="1">
        <v>45117</v>
      </c>
      <c r="AI136">
        <v>937</v>
      </c>
      <c r="AJ136">
        <v>577</v>
      </c>
      <c r="AK136" s="1">
        <v>45120</v>
      </c>
      <c r="AL136">
        <v>1092.6500000000001</v>
      </c>
      <c r="AM136">
        <v>577</v>
      </c>
      <c r="AN136" s="1">
        <v>45120</v>
      </c>
      <c r="AO136">
        <v>1092.6500000000001</v>
      </c>
      <c r="AP136">
        <v>590</v>
      </c>
      <c r="AQ136" s="1">
        <v>45133</v>
      </c>
      <c r="AR136">
        <v>1104</v>
      </c>
    </row>
    <row r="137" spans="1:44" x14ac:dyDescent="0.3">
      <c r="A137" t="s">
        <v>319</v>
      </c>
      <c r="B137" t="s">
        <v>320</v>
      </c>
      <c r="C137">
        <v>453</v>
      </c>
      <c r="D137" s="1">
        <v>44543</v>
      </c>
      <c r="E137">
        <v>2021</v>
      </c>
      <c r="F137">
        <v>12</v>
      </c>
      <c r="G137">
        <v>760</v>
      </c>
      <c r="H137">
        <v>1970.2</v>
      </c>
      <c r="I137" s="1">
        <v>45505</v>
      </c>
      <c r="J137">
        <v>397</v>
      </c>
      <c r="K137" s="1">
        <v>44616</v>
      </c>
      <c r="O137">
        <v>1</v>
      </c>
      <c r="P137" s="1">
        <v>44543</v>
      </c>
      <c r="Q137">
        <v>767.7</v>
      </c>
      <c r="R137">
        <v>1</v>
      </c>
      <c r="S137" s="1">
        <v>44543</v>
      </c>
      <c r="T137">
        <v>767.7</v>
      </c>
      <c r="U137">
        <v>1</v>
      </c>
      <c r="V137" s="1">
        <v>44543</v>
      </c>
      <c r="W137">
        <v>767.7</v>
      </c>
      <c r="X137">
        <v>1</v>
      </c>
      <c r="Y137" s="1">
        <v>44543</v>
      </c>
      <c r="Z137">
        <v>767.7</v>
      </c>
      <c r="AA137">
        <v>1</v>
      </c>
      <c r="AB137" s="1">
        <v>44543</v>
      </c>
      <c r="AC137">
        <v>767.7</v>
      </c>
      <c r="AD137">
        <v>1</v>
      </c>
      <c r="AE137" s="1">
        <v>44543</v>
      </c>
      <c r="AF137">
        <v>767.7</v>
      </c>
      <c r="AG137">
        <v>526</v>
      </c>
      <c r="AH137" s="1">
        <v>45068</v>
      </c>
      <c r="AI137">
        <v>774.8</v>
      </c>
      <c r="AJ137">
        <v>529</v>
      </c>
      <c r="AK137" s="1">
        <v>45071</v>
      </c>
      <c r="AL137">
        <v>839</v>
      </c>
      <c r="AM137">
        <v>535</v>
      </c>
      <c r="AN137" s="1">
        <v>45077</v>
      </c>
      <c r="AO137">
        <v>899.45</v>
      </c>
      <c r="AP137">
        <v>536</v>
      </c>
      <c r="AQ137" s="1">
        <v>45078</v>
      </c>
      <c r="AR137">
        <v>925</v>
      </c>
    </row>
    <row r="138" spans="1:44" x14ac:dyDescent="0.3">
      <c r="A138" t="s">
        <v>321</v>
      </c>
      <c r="B138" t="s">
        <v>322</v>
      </c>
      <c r="C138">
        <v>900</v>
      </c>
      <c r="D138" s="1">
        <v>44540</v>
      </c>
      <c r="E138">
        <v>2021</v>
      </c>
      <c r="F138">
        <v>12</v>
      </c>
      <c r="G138">
        <v>845</v>
      </c>
      <c r="H138">
        <v>940</v>
      </c>
      <c r="I138" s="1">
        <v>44540</v>
      </c>
      <c r="J138">
        <v>454.8</v>
      </c>
      <c r="K138" s="1">
        <v>45352</v>
      </c>
    </row>
    <row r="139" spans="1:44" x14ac:dyDescent="0.3">
      <c r="A139" t="s">
        <v>323</v>
      </c>
      <c r="B139" t="s">
        <v>324</v>
      </c>
      <c r="C139">
        <v>690</v>
      </c>
      <c r="D139" s="1">
        <v>44530</v>
      </c>
      <c r="E139">
        <v>2021</v>
      </c>
      <c r="F139">
        <v>11</v>
      </c>
      <c r="G139">
        <v>1310</v>
      </c>
      <c r="H139">
        <v>1453</v>
      </c>
      <c r="I139" s="1">
        <v>44866</v>
      </c>
      <c r="J139">
        <v>847.3</v>
      </c>
      <c r="K139" s="1">
        <v>44628</v>
      </c>
      <c r="O139">
        <v>1</v>
      </c>
      <c r="P139" s="1">
        <v>44530</v>
      </c>
      <c r="Q139">
        <v>1339.9</v>
      </c>
      <c r="R139">
        <v>1</v>
      </c>
      <c r="S139" s="1">
        <v>44530</v>
      </c>
      <c r="T139">
        <v>1339.9</v>
      </c>
      <c r="U139">
        <v>1</v>
      </c>
      <c r="V139" s="1">
        <v>44530</v>
      </c>
      <c r="W139">
        <v>1339.9</v>
      </c>
      <c r="X139">
        <v>1</v>
      </c>
      <c r="Y139" s="1">
        <v>44530</v>
      </c>
      <c r="Z139">
        <v>1339.9</v>
      </c>
      <c r="AA139">
        <v>1</v>
      </c>
      <c r="AB139" s="1">
        <v>44530</v>
      </c>
      <c r="AC139">
        <v>1339.9</v>
      </c>
      <c r="AD139">
        <v>1</v>
      </c>
      <c r="AE139" s="1">
        <v>44530</v>
      </c>
      <c r="AF139">
        <v>1339.9</v>
      </c>
      <c r="AG139">
        <v>1</v>
      </c>
      <c r="AH139" s="1">
        <v>44530</v>
      </c>
      <c r="AI139">
        <v>1339.9</v>
      </c>
      <c r="AJ139">
        <v>1</v>
      </c>
      <c r="AK139" s="1">
        <v>44530</v>
      </c>
      <c r="AL139">
        <v>1339.9</v>
      </c>
      <c r="AM139">
        <v>1</v>
      </c>
      <c r="AN139" s="1">
        <v>44530</v>
      </c>
      <c r="AO139">
        <v>1339.9</v>
      </c>
      <c r="AP139">
        <v>309</v>
      </c>
      <c r="AQ139" s="1">
        <v>44838</v>
      </c>
      <c r="AR139">
        <v>1381.1</v>
      </c>
    </row>
    <row r="140" spans="1:44" x14ac:dyDescent="0.3">
      <c r="A140" t="s">
        <v>325</v>
      </c>
      <c r="B140" t="s">
        <v>326</v>
      </c>
      <c r="C140">
        <v>662</v>
      </c>
      <c r="D140" s="1">
        <v>44526</v>
      </c>
      <c r="E140">
        <v>2021</v>
      </c>
      <c r="F140">
        <v>11</v>
      </c>
      <c r="G140">
        <v>682</v>
      </c>
      <c r="H140">
        <v>924.9</v>
      </c>
      <c r="I140" s="1">
        <v>44529</v>
      </c>
      <c r="J140">
        <v>389.1</v>
      </c>
      <c r="K140" s="1">
        <v>45447</v>
      </c>
      <c r="O140">
        <v>1</v>
      </c>
      <c r="P140" s="1">
        <v>44526</v>
      </c>
      <c r="Q140">
        <v>818.4</v>
      </c>
      <c r="R140">
        <v>1</v>
      </c>
      <c r="S140" s="1">
        <v>44526</v>
      </c>
      <c r="T140">
        <v>818.4</v>
      </c>
      <c r="U140">
        <v>4</v>
      </c>
      <c r="V140" s="1">
        <v>44529</v>
      </c>
      <c r="W140">
        <v>924.9</v>
      </c>
    </row>
    <row r="141" spans="1:44" x14ac:dyDescent="0.3">
      <c r="A141" t="s">
        <v>327</v>
      </c>
      <c r="B141" t="s">
        <v>328</v>
      </c>
      <c r="C141">
        <v>197</v>
      </c>
      <c r="D141" s="1">
        <v>44523</v>
      </c>
      <c r="E141">
        <v>2021</v>
      </c>
      <c r="F141">
        <v>11</v>
      </c>
      <c r="G141">
        <v>512.20000000000005</v>
      </c>
      <c r="H141">
        <v>754.9</v>
      </c>
      <c r="I141" s="1">
        <v>44526</v>
      </c>
      <c r="J141">
        <v>305.25</v>
      </c>
      <c r="K141" s="1">
        <v>44732</v>
      </c>
      <c r="O141">
        <v>1</v>
      </c>
      <c r="P141" s="1">
        <v>44523</v>
      </c>
      <c r="Q141">
        <v>548</v>
      </c>
      <c r="R141">
        <v>1</v>
      </c>
      <c r="S141" s="1">
        <v>44523</v>
      </c>
      <c r="T141">
        <v>548</v>
      </c>
      <c r="U141">
        <v>1</v>
      </c>
      <c r="V141" s="1">
        <v>44523</v>
      </c>
      <c r="W141">
        <v>548</v>
      </c>
      <c r="X141">
        <v>1</v>
      </c>
      <c r="Y141" s="1">
        <v>44523</v>
      </c>
      <c r="Z141">
        <v>548</v>
      </c>
      <c r="AA141">
        <v>1</v>
      </c>
      <c r="AB141" s="1">
        <v>44523</v>
      </c>
      <c r="AC141">
        <v>548</v>
      </c>
      <c r="AD141">
        <v>1</v>
      </c>
      <c r="AE141" s="1">
        <v>44523</v>
      </c>
      <c r="AF141">
        <v>548</v>
      </c>
      <c r="AG141">
        <v>1</v>
      </c>
      <c r="AH141" s="1">
        <v>44523</v>
      </c>
      <c r="AI141">
        <v>548</v>
      </c>
      <c r="AJ141">
        <v>1</v>
      </c>
      <c r="AK141" s="1">
        <v>44523</v>
      </c>
      <c r="AL141">
        <v>548</v>
      </c>
      <c r="AM141">
        <v>1</v>
      </c>
      <c r="AN141" s="1">
        <v>44523</v>
      </c>
      <c r="AO141">
        <v>548</v>
      </c>
      <c r="AP141">
        <v>1</v>
      </c>
      <c r="AQ141" s="1">
        <v>44523</v>
      </c>
      <c r="AR141">
        <v>548</v>
      </c>
    </row>
    <row r="142" spans="1:44" x14ac:dyDescent="0.3">
      <c r="A142" t="s">
        <v>329</v>
      </c>
      <c r="B142" t="s">
        <v>330</v>
      </c>
      <c r="C142">
        <v>1180</v>
      </c>
      <c r="D142" s="1">
        <v>44518</v>
      </c>
      <c r="E142">
        <v>2021</v>
      </c>
      <c r="F142">
        <v>11</v>
      </c>
      <c r="G142">
        <v>1350</v>
      </c>
      <c r="H142">
        <v>1817.2</v>
      </c>
      <c r="I142" s="1">
        <v>45505</v>
      </c>
      <c r="J142">
        <v>317.05</v>
      </c>
      <c r="K142" s="1">
        <v>45541</v>
      </c>
      <c r="O142">
        <v>1</v>
      </c>
      <c r="P142" s="1">
        <v>44518</v>
      </c>
      <c r="Q142">
        <v>1380.05</v>
      </c>
      <c r="R142">
        <v>54</v>
      </c>
      <c r="S142" s="1">
        <v>44571</v>
      </c>
      <c r="T142">
        <v>1459.4</v>
      </c>
      <c r="U142">
        <v>86</v>
      </c>
      <c r="V142" s="1">
        <v>44603</v>
      </c>
      <c r="W142">
        <v>1538.9</v>
      </c>
      <c r="X142">
        <v>856</v>
      </c>
      <c r="Y142" s="1">
        <v>45373</v>
      </c>
      <c r="Z142">
        <v>1680</v>
      </c>
      <c r="AA142">
        <v>988</v>
      </c>
      <c r="AB142" s="1">
        <v>45505</v>
      </c>
      <c r="AC142">
        <v>1817.2</v>
      </c>
    </row>
    <row r="143" spans="1:44" x14ac:dyDescent="0.3">
      <c r="A143" t="s">
        <v>331</v>
      </c>
      <c r="B143" t="s">
        <v>332</v>
      </c>
      <c r="C143">
        <v>2150</v>
      </c>
      <c r="D143" s="1">
        <v>44518</v>
      </c>
      <c r="E143">
        <v>2021</v>
      </c>
      <c r="F143">
        <v>11</v>
      </c>
      <c r="G143">
        <v>1950</v>
      </c>
      <c r="H143">
        <v>1955</v>
      </c>
      <c r="I143" s="1">
        <v>44518</v>
      </c>
      <c r="J143">
        <v>310</v>
      </c>
      <c r="K143" s="1">
        <v>45421</v>
      </c>
    </row>
    <row r="144" spans="1:44" x14ac:dyDescent="0.3">
      <c r="A144" t="s">
        <v>333</v>
      </c>
      <c r="B144" t="s">
        <v>334</v>
      </c>
      <c r="C144">
        <v>980</v>
      </c>
      <c r="D144" s="1">
        <v>44515</v>
      </c>
      <c r="E144">
        <v>2021</v>
      </c>
      <c r="F144">
        <v>11</v>
      </c>
      <c r="G144">
        <v>1150</v>
      </c>
      <c r="H144">
        <v>1885</v>
      </c>
      <c r="I144" s="1">
        <v>45553</v>
      </c>
      <c r="J144">
        <v>356.2</v>
      </c>
      <c r="K144" s="1">
        <v>44882</v>
      </c>
      <c r="O144">
        <v>1</v>
      </c>
      <c r="P144" s="1">
        <v>44515</v>
      </c>
      <c r="Q144">
        <v>1248.9000000000001</v>
      </c>
      <c r="R144">
        <v>1</v>
      </c>
      <c r="S144" s="1">
        <v>44515</v>
      </c>
      <c r="T144">
        <v>1248.9000000000001</v>
      </c>
      <c r="U144">
        <v>2</v>
      </c>
      <c r="V144" s="1">
        <v>44516</v>
      </c>
      <c r="W144">
        <v>1434</v>
      </c>
      <c r="X144">
        <v>2</v>
      </c>
      <c r="Y144" s="1">
        <v>44516</v>
      </c>
      <c r="Z144">
        <v>1434</v>
      </c>
      <c r="AA144">
        <v>3</v>
      </c>
      <c r="AB144" s="1">
        <v>44517</v>
      </c>
      <c r="AC144">
        <v>1470</v>
      </c>
      <c r="AD144">
        <v>1004</v>
      </c>
      <c r="AE144" s="1">
        <v>45518</v>
      </c>
      <c r="AF144">
        <v>1709.95</v>
      </c>
      <c r="AG144">
        <v>1004</v>
      </c>
      <c r="AH144" s="1">
        <v>45518</v>
      </c>
      <c r="AI144">
        <v>1709.95</v>
      </c>
      <c r="AJ144">
        <v>1016</v>
      </c>
      <c r="AK144" s="1">
        <v>45530</v>
      </c>
      <c r="AL144">
        <v>1849.9</v>
      </c>
      <c r="AM144">
        <v>1038</v>
      </c>
      <c r="AN144" s="1">
        <v>45552</v>
      </c>
      <c r="AO144">
        <v>1871.4</v>
      </c>
    </row>
    <row r="145" spans="1:44" x14ac:dyDescent="0.3">
      <c r="A145" t="s">
        <v>335</v>
      </c>
      <c r="B145" t="s">
        <v>336</v>
      </c>
      <c r="C145">
        <v>577</v>
      </c>
      <c r="D145" s="1">
        <v>44512</v>
      </c>
      <c r="E145">
        <v>2021</v>
      </c>
      <c r="F145">
        <v>11</v>
      </c>
      <c r="G145">
        <v>544.35</v>
      </c>
      <c r="H145">
        <v>582.95000000000005</v>
      </c>
      <c r="I145" s="1">
        <v>44512</v>
      </c>
      <c r="J145">
        <v>180.2</v>
      </c>
      <c r="K145" s="1">
        <v>44880</v>
      </c>
    </row>
    <row r="146" spans="1:44" x14ac:dyDescent="0.3">
      <c r="A146" t="s">
        <v>337</v>
      </c>
      <c r="B146" t="s">
        <v>338</v>
      </c>
      <c r="C146">
        <v>712</v>
      </c>
      <c r="D146" s="1">
        <v>44480</v>
      </c>
      <c r="E146">
        <v>2021</v>
      </c>
      <c r="F146">
        <v>10</v>
      </c>
      <c r="G146">
        <v>715</v>
      </c>
      <c r="H146">
        <v>775</v>
      </c>
      <c r="I146" s="1">
        <v>45525</v>
      </c>
      <c r="J146">
        <v>307</v>
      </c>
      <c r="K146" s="1">
        <v>45013</v>
      </c>
    </row>
    <row r="147" spans="1:44" x14ac:dyDescent="0.3">
      <c r="A147" t="s">
        <v>339</v>
      </c>
      <c r="B147" t="s">
        <v>340</v>
      </c>
      <c r="C147">
        <v>744</v>
      </c>
      <c r="D147" s="1">
        <v>44463</v>
      </c>
      <c r="E147">
        <v>2021</v>
      </c>
      <c r="F147">
        <v>9</v>
      </c>
      <c r="G147">
        <v>811.5</v>
      </c>
      <c r="H147">
        <v>1607.3</v>
      </c>
      <c r="I147" s="1">
        <v>45552</v>
      </c>
      <c r="J147">
        <v>548.54999999999995</v>
      </c>
      <c r="K147" s="1">
        <v>44648</v>
      </c>
      <c r="O147">
        <v>1</v>
      </c>
      <c r="P147" s="1">
        <v>44463</v>
      </c>
      <c r="Q147">
        <v>841.95</v>
      </c>
      <c r="R147">
        <v>637</v>
      </c>
      <c r="S147" s="1">
        <v>45099</v>
      </c>
      <c r="T147">
        <v>914.55</v>
      </c>
      <c r="U147">
        <v>676</v>
      </c>
      <c r="V147" s="1">
        <v>45138</v>
      </c>
      <c r="W147">
        <v>968</v>
      </c>
      <c r="X147">
        <v>820</v>
      </c>
      <c r="Y147" s="1">
        <v>45282</v>
      </c>
      <c r="Z147">
        <v>1048.3499999999999</v>
      </c>
      <c r="AA147">
        <v>992</v>
      </c>
      <c r="AB147" s="1">
        <v>45454</v>
      </c>
      <c r="AC147">
        <v>1195</v>
      </c>
      <c r="AD147">
        <v>992</v>
      </c>
      <c r="AE147" s="1">
        <v>45454</v>
      </c>
      <c r="AF147">
        <v>1195</v>
      </c>
      <c r="AG147">
        <v>1000</v>
      </c>
      <c r="AH147" s="1">
        <v>45462</v>
      </c>
      <c r="AI147">
        <v>1316.95</v>
      </c>
      <c r="AJ147">
        <v>1006</v>
      </c>
      <c r="AK147" s="1">
        <v>45468</v>
      </c>
      <c r="AL147">
        <v>1342.55</v>
      </c>
      <c r="AM147">
        <v>1019</v>
      </c>
      <c r="AN147" s="1">
        <v>45481</v>
      </c>
      <c r="AO147">
        <v>1430.9</v>
      </c>
      <c r="AP147">
        <v>1061</v>
      </c>
      <c r="AQ147" s="1">
        <v>45523</v>
      </c>
      <c r="AR147">
        <v>1519.7</v>
      </c>
    </row>
    <row r="148" spans="1:44" x14ac:dyDescent="0.3">
      <c r="A148" t="s">
        <v>341</v>
      </c>
      <c r="B148" t="s">
        <v>342</v>
      </c>
      <c r="C148">
        <v>531</v>
      </c>
      <c r="D148" s="1">
        <v>44453</v>
      </c>
      <c r="E148">
        <v>2021</v>
      </c>
      <c r="F148">
        <v>9</v>
      </c>
      <c r="G148">
        <v>540</v>
      </c>
      <c r="H148">
        <v>973</v>
      </c>
      <c r="I148" s="1">
        <v>45547</v>
      </c>
      <c r="J148">
        <v>295</v>
      </c>
      <c r="K148" s="1">
        <v>44726</v>
      </c>
      <c r="O148">
        <v>1</v>
      </c>
      <c r="P148" s="1">
        <v>44453</v>
      </c>
      <c r="Q148">
        <v>648</v>
      </c>
      <c r="R148">
        <v>1</v>
      </c>
      <c r="S148" s="1">
        <v>44453</v>
      </c>
      <c r="T148">
        <v>648</v>
      </c>
      <c r="U148">
        <v>841</v>
      </c>
      <c r="V148" s="1">
        <v>45293</v>
      </c>
      <c r="W148">
        <v>691.55</v>
      </c>
      <c r="X148">
        <v>970</v>
      </c>
      <c r="Y148" s="1">
        <v>45422</v>
      </c>
      <c r="Z148">
        <v>817.95</v>
      </c>
      <c r="AA148">
        <v>970</v>
      </c>
      <c r="AB148" s="1">
        <v>45422</v>
      </c>
      <c r="AC148">
        <v>817.95</v>
      </c>
      <c r="AD148">
        <v>996</v>
      </c>
      <c r="AE148" s="1">
        <v>45448</v>
      </c>
      <c r="AF148">
        <v>880</v>
      </c>
      <c r="AG148">
        <v>1072</v>
      </c>
      <c r="AH148" s="1">
        <v>45524</v>
      </c>
      <c r="AI148">
        <v>904.8</v>
      </c>
      <c r="AJ148">
        <v>1088</v>
      </c>
      <c r="AK148" s="1">
        <v>45540</v>
      </c>
      <c r="AL148">
        <v>965</v>
      </c>
    </row>
    <row r="149" spans="1:44" x14ac:dyDescent="0.3">
      <c r="A149" t="s">
        <v>343</v>
      </c>
      <c r="B149" t="s">
        <v>344</v>
      </c>
      <c r="C149">
        <v>610</v>
      </c>
      <c r="D149" s="1">
        <v>44453</v>
      </c>
      <c r="E149">
        <v>2021</v>
      </c>
      <c r="F149">
        <v>9</v>
      </c>
      <c r="G149">
        <v>910</v>
      </c>
      <c r="H149">
        <v>1595</v>
      </c>
      <c r="I149" s="1">
        <v>45553</v>
      </c>
      <c r="J149">
        <v>766.1</v>
      </c>
      <c r="K149" s="1">
        <v>44616</v>
      </c>
      <c r="O149">
        <v>1</v>
      </c>
      <c r="P149" s="1">
        <v>44453</v>
      </c>
      <c r="Q149">
        <v>966.7</v>
      </c>
      <c r="R149">
        <v>1</v>
      </c>
      <c r="S149" s="1">
        <v>44453</v>
      </c>
      <c r="T149">
        <v>966.7</v>
      </c>
      <c r="U149">
        <v>1</v>
      </c>
      <c r="V149" s="1">
        <v>44453</v>
      </c>
      <c r="W149">
        <v>966.7</v>
      </c>
      <c r="X149">
        <v>1</v>
      </c>
      <c r="Y149" s="1">
        <v>44453</v>
      </c>
      <c r="Z149">
        <v>966.7</v>
      </c>
      <c r="AA149">
        <v>1</v>
      </c>
      <c r="AB149" s="1">
        <v>44453</v>
      </c>
      <c r="AC149">
        <v>966.7</v>
      </c>
      <c r="AD149">
        <v>2</v>
      </c>
      <c r="AE149" s="1">
        <v>44454</v>
      </c>
      <c r="AF149">
        <v>1122</v>
      </c>
      <c r="AG149">
        <v>2</v>
      </c>
      <c r="AH149" s="1">
        <v>44454</v>
      </c>
      <c r="AI149">
        <v>1122</v>
      </c>
      <c r="AJ149">
        <v>2</v>
      </c>
      <c r="AK149" s="1">
        <v>44454</v>
      </c>
      <c r="AL149">
        <v>1122</v>
      </c>
      <c r="AM149">
        <v>3</v>
      </c>
      <c r="AN149" s="1">
        <v>44455</v>
      </c>
      <c r="AO149">
        <v>1346.4</v>
      </c>
      <c r="AP149">
        <v>3</v>
      </c>
      <c r="AQ149" s="1">
        <v>44455</v>
      </c>
      <c r="AR149">
        <v>1346.4</v>
      </c>
    </row>
    <row r="150" spans="1:44" x14ac:dyDescent="0.3">
      <c r="A150" t="s">
        <v>345</v>
      </c>
      <c r="B150" t="s">
        <v>346</v>
      </c>
      <c r="C150">
        <v>541</v>
      </c>
      <c r="D150" s="1">
        <v>44432</v>
      </c>
      <c r="E150">
        <v>2021</v>
      </c>
      <c r="F150">
        <v>8</v>
      </c>
      <c r="G150">
        <v>550</v>
      </c>
      <c r="H150">
        <v>826</v>
      </c>
      <c r="I150" s="1">
        <v>44480</v>
      </c>
      <c r="J150">
        <v>342.05</v>
      </c>
      <c r="K150" s="1">
        <v>45013</v>
      </c>
      <c r="O150">
        <v>8</v>
      </c>
      <c r="P150" s="1">
        <v>44439</v>
      </c>
      <c r="Q150">
        <v>616.85</v>
      </c>
      <c r="R150">
        <v>42</v>
      </c>
      <c r="S150" s="1">
        <v>44473</v>
      </c>
      <c r="T150">
        <v>684.35</v>
      </c>
      <c r="U150">
        <v>43</v>
      </c>
      <c r="V150" s="1">
        <v>44474</v>
      </c>
      <c r="W150">
        <v>732.8</v>
      </c>
      <c r="X150">
        <v>46</v>
      </c>
      <c r="Y150" s="1">
        <v>44477</v>
      </c>
      <c r="Z150">
        <v>810</v>
      </c>
      <c r="AA150">
        <v>49</v>
      </c>
      <c r="AB150" s="1">
        <v>44480</v>
      </c>
      <c r="AC150">
        <v>826</v>
      </c>
    </row>
    <row r="151" spans="1:44" x14ac:dyDescent="0.3">
      <c r="A151" t="s">
        <v>347</v>
      </c>
      <c r="B151" t="s">
        <v>348</v>
      </c>
      <c r="C151">
        <v>353</v>
      </c>
      <c r="D151" s="1">
        <v>44432</v>
      </c>
      <c r="E151">
        <v>2021</v>
      </c>
      <c r="F151">
        <v>8</v>
      </c>
      <c r="G151">
        <v>333</v>
      </c>
      <c r="H151">
        <v>394.9</v>
      </c>
      <c r="I151" s="1">
        <v>44595</v>
      </c>
      <c r="J151">
        <v>221.25</v>
      </c>
      <c r="K151" s="1">
        <v>44728</v>
      </c>
      <c r="O151">
        <v>163</v>
      </c>
      <c r="P151" s="1">
        <v>44594</v>
      </c>
      <c r="Q151">
        <v>393.8</v>
      </c>
    </row>
    <row r="152" spans="1:44" x14ac:dyDescent="0.3">
      <c r="A152" t="s">
        <v>349</v>
      </c>
      <c r="B152" t="s">
        <v>350</v>
      </c>
      <c r="C152">
        <v>570</v>
      </c>
      <c r="D152" s="1">
        <v>44431</v>
      </c>
      <c r="E152">
        <v>2021</v>
      </c>
      <c r="F152">
        <v>8</v>
      </c>
      <c r="G152">
        <v>485</v>
      </c>
      <c r="H152">
        <v>577.9</v>
      </c>
      <c r="I152" s="1">
        <v>44445</v>
      </c>
      <c r="J152">
        <v>260.25</v>
      </c>
      <c r="K152" s="1">
        <v>44728</v>
      </c>
    </row>
    <row r="153" spans="1:44" x14ac:dyDescent="0.3">
      <c r="A153" t="s">
        <v>351</v>
      </c>
      <c r="B153" t="s">
        <v>352</v>
      </c>
      <c r="C153">
        <v>1618</v>
      </c>
      <c r="D153" s="1">
        <v>44428</v>
      </c>
      <c r="E153">
        <v>2021</v>
      </c>
      <c r="F153">
        <v>8</v>
      </c>
      <c r="G153">
        <v>1599.8</v>
      </c>
      <c r="H153">
        <v>1618</v>
      </c>
      <c r="I153" s="1">
        <v>44428</v>
      </c>
      <c r="J153">
        <v>340.15</v>
      </c>
      <c r="K153" s="1">
        <v>45013</v>
      </c>
    </row>
    <row r="154" spans="1:44" x14ac:dyDescent="0.3">
      <c r="A154" t="s">
        <v>353</v>
      </c>
      <c r="B154" t="s">
        <v>354</v>
      </c>
      <c r="C154">
        <v>460</v>
      </c>
      <c r="D154" s="1">
        <v>44424</v>
      </c>
      <c r="E154">
        <v>2021</v>
      </c>
      <c r="F154">
        <v>8</v>
      </c>
      <c r="G154">
        <v>437</v>
      </c>
      <c r="H154">
        <v>952.1</v>
      </c>
      <c r="I154" s="1">
        <v>45546</v>
      </c>
      <c r="J154">
        <v>203.25</v>
      </c>
      <c r="K154" s="1">
        <v>44732</v>
      </c>
      <c r="O154">
        <v>870</v>
      </c>
      <c r="P154" s="1">
        <v>45293</v>
      </c>
      <c r="Q154">
        <v>544</v>
      </c>
      <c r="R154">
        <v>907</v>
      </c>
      <c r="S154" s="1">
        <v>45330</v>
      </c>
      <c r="T154">
        <v>555</v>
      </c>
      <c r="U154">
        <v>1010</v>
      </c>
      <c r="V154" s="1">
        <v>45433</v>
      </c>
      <c r="W154">
        <v>648</v>
      </c>
      <c r="X154">
        <v>1010</v>
      </c>
      <c r="Y154" s="1">
        <v>45433</v>
      </c>
      <c r="Z154">
        <v>648</v>
      </c>
      <c r="AA154">
        <v>1032</v>
      </c>
      <c r="AB154" s="1">
        <v>45455</v>
      </c>
      <c r="AC154">
        <v>736.6</v>
      </c>
      <c r="AD154">
        <v>1032</v>
      </c>
      <c r="AE154" s="1">
        <v>45455</v>
      </c>
      <c r="AF154">
        <v>736.6</v>
      </c>
      <c r="AG154">
        <v>1033</v>
      </c>
      <c r="AH154" s="1">
        <v>45456</v>
      </c>
      <c r="AI154">
        <v>794.5</v>
      </c>
      <c r="AJ154">
        <v>1081</v>
      </c>
      <c r="AK154" s="1">
        <v>45504</v>
      </c>
      <c r="AL154">
        <v>830</v>
      </c>
      <c r="AM154">
        <v>1089</v>
      </c>
      <c r="AN154" s="1">
        <v>45512</v>
      </c>
      <c r="AO154">
        <v>887.85</v>
      </c>
      <c r="AP154">
        <v>1117</v>
      </c>
      <c r="AQ154" s="1">
        <v>45540</v>
      </c>
      <c r="AR154">
        <v>929</v>
      </c>
    </row>
    <row r="155" spans="1:44" x14ac:dyDescent="0.3">
      <c r="A155" t="s">
        <v>355</v>
      </c>
      <c r="B155" t="s">
        <v>356</v>
      </c>
      <c r="C155">
        <v>90</v>
      </c>
      <c r="D155" s="1">
        <v>44424</v>
      </c>
      <c r="E155">
        <v>2021</v>
      </c>
      <c r="F155">
        <v>8</v>
      </c>
      <c r="G155">
        <v>140.9</v>
      </c>
      <c r="H155">
        <v>227.5</v>
      </c>
      <c r="I155" s="1">
        <v>45180</v>
      </c>
      <c r="J155">
        <v>107.55</v>
      </c>
      <c r="K155" s="1">
        <v>44431</v>
      </c>
      <c r="O155">
        <v>1</v>
      </c>
      <c r="P155" s="1">
        <v>44424</v>
      </c>
      <c r="Q155">
        <v>140.9</v>
      </c>
      <c r="R155">
        <v>1</v>
      </c>
      <c r="S155" s="1">
        <v>44424</v>
      </c>
      <c r="T155">
        <v>140.9</v>
      </c>
      <c r="U155">
        <v>1</v>
      </c>
      <c r="V155" s="1">
        <v>44424</v>
      </c>
      <c r="W155">
        <v>140.9</v>
      </c>
      <c r="X155">
        <v>1</v>
      </c>
      <c r="Y155" s="1">
        <v>44424</v>
      </c>
      <c r="Z155">
        <v>140.9</v>
      </c>
      <c r="AA155">
        <v>1</v>
      </c>
      <c r="AB155" s="1">
        <v>44424</v>
      </c>
      <c r="AC155">
        <v>140.9</v>
      </c>
      <c r="AD155">
        <v>80</v>
      </c>
      <c r="AE155" s="1">
        <v>44503</v>
      </c>
      <c r="AF155">
        <v>149.25</v>
      </c>
      <c r="AG155">
        <v>85</v>
      </c>
      <c r="AH155" s="1">
        <v>44508</v>
      </c>
      <c r="AI155">
        <v>154.75</v>
      </c>
      <c r="AJ155">
        <v>89</v>
      </c>
      <c r="AK155" s="1">
        <v>44512</v>
      </c>
      <c r="AL155">
        <v>168.35</v>
      </c>
      <c r="AM155">
        <v>95</v>
      </c>
      <c r="AN155" s="1">
        <v>44518</v>
      </c>
      <c r="AO155">
        <v>171</v>
      </c>
      <c r="AP155">
        <v>115</v>
      </c>
      <c r="AQ155" s="1">
        <v>44538</v>
      </c>
      <c r="AR155">
        <v>183.8</v>
      </c>
    </row>
    <row r="156" spans="1:44" x14ac:dyDescent="0.3">
      <c r="A156" t="s">
        <v>357</v>
      </c>
      <c r="B156" t="s">
        <v>358</v>
      </c>
      <c r="C156">
        <v>954</v>
      </c>
      <c r="D156" s="1">
        <v>44424</v>
      </c>
      <c r="E156">
        <v>2021</v>
      </c>
      <c r="F156">
        <v>8</v>
      </c>
      <c r="G156">
        <v>1005.55</v>
      </c>
      <c r="H156">
        <v>1099.7</v>
      </c>
      <c r="I156" s="1">
        <v>44424</v>
      </c>
      <c r="J156">
        <v>353.1</v>
      </c>
      <c r="K156" s="1">
        <v>44985</v>
      </c>
      <c r="O156">
        <v>1</v>
      </c>
      <c r="P156" s="1">
        <v>44424</v>
      </c>
      <c r="Q156">
        <v>1099.7</v>
      </c>
    </row>
    <row r="157" spans="1:44" x14ac:dyDescent="0.3">
      <c r="A157" t="s">
        <v>359</v>
      </c>
      <c r="B157" t="s">
        <v>360</v>
      </c>
      <c r="C157">
        <v>900</v>
      </c>
      <c r="D157" s="1">
        <v>44417</v>
      </c>
      <c r="E157">
        <v>2021</v>
      </c>
      <c r="F157">
        <v>8</v>
      </c>
      <c r="G157">
        <v>1250</v>
      </c>
      <c r="H157">
        <v>2767.1</v>
      </c>
      <c r="I157" s="1">
        <v>45483</v>
      </c>
      <c r="J157">
        <v>994.8</v>
      </c>
      <c r="K157" s="1">
        <v>44529</v>
      </c>
      <c r="O157">
        <v>1</v>
      </c>
      <c r="P157" s="1">
        <v>44417</v>
      </c>
      <c r="Q157">
        <v>1263</v>
      </c>
      <c r="R157">
        <v>1</v>
      </c>
      <c r="S157" s="1">
        <v>44417</v>
      </c>
      <c r="T157">
        <v>1263</v>
      </c>
      <c r="U157">
        <v>1</v>
      </c>
      <c r="V157" s="1">
        <v>44417</v>
      </c>
      <c r="W157">
        <v>1263</v>
      </c>
      <c r="X157">
        <v>1</v>
      </c>
      <c r="Y157" s="1">
        <v>44417</v>
      </c>
      <c r="Z157">
        <v>1263</v>
      </c>
      <c r="AA157">
        <v>155</v>
      </c>
      <c r="AB157" s="1">
        <v>44571</v>
      </c>
      <c r="AC157">
        <v>1365</v>
      </c>
      <c r="AD157">
        <v>297</v>
      </c>
      <c r="AE157" s="1">
        <v>44713</v>
      </c>
      <c r="AF157">
        <v>1535.25</v>
      </c>
      <c r="AG157">
        <v>297</v>
      </c>
      <c r="AH157" s="1">
        <v>44713</v>
      </c>
      <c r="AI157">
        <v>1535.25</v>
      </c>
      <c r="AJ157">
        <v>306</v>
      </c>
      <c r="AK157" s="1">
        <v>44722</v>
      </c>
      <c r="AL157">
        <v>1624.6</v>
      </c>
      <c r="AM157">
        <v>330</v>
      </c>
      <c r="AN157" s="1">
        <v>44746</v>
      </c>
      <c r="AO157">
        <v>1750</v>
      </c>
      <c r="AP157">
        <v>333</v>
      </c>
      <c r="AQ157" s="1">
        <v>44749</v>
      </c>
      <c r="AR157">
        <v>1849.65</v>
      </c>
    </row>
    <row r="158" spans="1:44" x14ac:dyDescent="0.3">
      <c r="A158" t="s">
        <v>361</v>
      </c>
      <c r="B158" t="s">
        <v>362</v>
      </c>
      <c r="C158">
        <v>720</v>
      </c>
      <c r="D158" s="1">
        <v>44414</v>
      </c>
      <c r="E158">
        <v>2021</v>
      </c>
      <c r="F158">
        <v>8</v>
      </c>
      <c r="G158">
        <v>750</v>
      </c>
      <c r="H158">
        <v>1335.1</v>
      </c>
      <c r="I158" s="1">
        <v>45551</v>
      </c>
      <c r="J158">
        <v>370</v>
      </c>
      <c r="K158" s="1">
        <v>44832</v>
      </c>
      <c r="O158">
        <v>1</v>
      </c>
      <c r="P158" s="1">
        <v>44414</v>
      </c>
      <c r="Q158">
        <v>799</v>
      </c>
      <c r="R158">
        <v>909</v>
      </c>
      <c r="S158" s="1">
        <v>45322</v>
      </c>
      <c r="T158">
        <v>878.3</v>
      </c>
      <c r="U158">
        <v>1063</v>
      </c>
      <c r="V158" s="1">
        <v>45476</v>
      </c>
      <c r="W158">
        <v>972</v>
      </c>
      <c r="X158">
        <v>1104</v>
      </c>
      <c r="Y158" s="1">
        <v>45517</v>
      </c>
      <c r="Z158">
        <v>1037.05</v>
      </c>
      <c r="AA158">
        <v>1121</v>
      </c>
      <c r="AB158" s="1">
        <v>45534</v>
      </c>
      <c r="AC158">
        <v>1095</v>
      </c>
      <c r="AD158">
        <v>1128</v>
      </c>
      <c r="AE158" s="1">
        <v>45541</v>
      </c>
      <c r="AF158">
        <v>1175</v>
      </c>
      <c r="AG158">
        <v>1132</v>
      </c>
      <c r="AH158" s="1">
        <v>45545</v>
      </c>
      <c r="AI158">
        <v>1299</v>
      </c>
      <c r="AJ158">
        <v>1132</v>
      </c>
      <c r="AK158" s="1">
        <v>45545</v>
      </c>
      <c r="AL158">
        <v>1299</v>
      </c>
    </row>
    <row r="159" spans="1:44" x14ac:dyDescent="0.3">
      <c r="A159" t="s">
        <v>363</v>
      </c>
      <c r="B159" t="s">
        <v>364</v>
      </c>
      <c r="C159">
        <v>1083</v>
      </c>
      <c r="D159" s="1">
        <v>44406</v>
      </c>
      <c r="E159">
        <v>2021</v>
      </c>
      <c r="F159">
        <v>7</v>
      </c>
      <c r="G159">
        <v>2111.85</v>
      </c>
      <c r="H159">
        <v>2977.8</v>
      </c>
      <c r="I159" s="1">
        <v>44503</v>
      </c>
      <c r="J159">
        <v>932.25</v>
      </c>
      <c r="K159" s="1">
        <v>45537</v>
      </c>
      <c r="O159">
        <v>1</v>
      </c>
      <c r="P159" s="1">
        <v>44406</v>
      </c>
      <c r="Q159">
        <v>2534.1999999999998</v>
      </c>
      <c r="R159">
        <v>1</v>
      </c>
      <c r="S159" s="1">
        <v>44406</v>
      </c>
      <c r="T159">
        <v>2534.1999999999998</v>
      </c>
      <c r="U159">
        <v>1</v>
      </c>
      <c r="V159" s="1">
        <v>44406</v>
      </c>
      <c r="W159">
        <v>2534.1999999999998</v>
      </c>
      <c r="X159">
        <v>1</v>
      </c>
      <c r="Y159" s="1">
        <v>44406</v>
      </c>
      <c r="Z159">
        <v>2534.1999999999998</v>
      </c>
      <c r="AA159">
        <v>1</v>
      </c>
      <c r="AB159" s="1">
        <v>44406</v>
      </c>
      <c r="AC159">
        <v>2534.1999999999998</v>
      </c>
      <c r="AD159">
        <v>1</v>
      </c>
      <c r="AE159" s="1">
        <v>44406</v>
      </c>
      <c r="AF159">
        <v>2534.1999999999998</v>
      </c>
      <c r="AG159">
        <v>1</v>
      </c>
      <c r="AH159" s="1">
        <v>44406</v>
      </c>
      <c r="AI159">
        <v>2534.1999999999998</v>
      </c>
      <c r="AJ159">
        <v>1</v>
      </c>
      <c r="AK159" s="1">
        <v>44406</v>
      </c>
      <c r="AL159">
        <v>2534.1999999999998</v>
      </c>
      <c r="AM159">
        <v>1</v>
      </c>
      <c r="AN159" s="1">
        <v>44406</v>
      </c>
      <c r="AO159">
        <v>2534.1999999999998</v>
      </c>
      <c r="AP159">
        <v>1</v>
      </c>
      <c r="AQ159" s="1">
        <v>44406</v>
      </c>
      <c r="AR159">
        <v>2534.1999999999998</v>
      </c>
    </row>
    <row r="160" spans="1:44" x14ac:dyDescent="0.3">
      <c r="A160" t="s">
        <v>365</v>
      </c>
      <c r="B160" t="s">
        <v>366</v>
      </c>
      <c r="C160">
        <v>76</v>
      </c>
      <c r="D160" s="1">
        <v>44400</v>
      </c>
      <c r="E160">
        <v>2021</v>
      </c>
      <c r="F160">
        <v>7</v>
      </c>
      <c r="G160">
        <v>116</v>
      </c>
      <c r="H160">
        <v>286.45</v>
      </c>
      <c r="I160" s="1">
        <v>45548</v>
      </c>
      <c r="J160">
        <v>40.6</v>
      </c>
      <c r="K160" s="1">
        <v>44769</v>
      </c>
      <c r="O160">
        <v>1</v>
      </c>
      <c r="P160" s="1">
        <v>44400</v>
      </c>
      <c r="Q160">
        <v>138.9</v>
      </c>
      <c r="R160">
        <v>1</v>
      </c>
      <c r="S160" s="1">
        <v>44400</v>
      </c>
      <c r="T160">
        <v>138.9</v>
      </c>
      <c r="U160">
        <v>1</v>
      </c>
      <c r="V160" s="1">
        <v>44400</v>
      </c>
      <c r="W160">
        <v>138.9</v>
      </c>
      <c r="X160">
        <v>1</v>
      </c>
      <c r="Y160" s="1">
        <v>44400</v>
      </c>
      <c r="Z160">
        <v>138.9</v>
      </c>
      <c r="AA160">
        <v>1</v>
      </c>
      <c r="AB160" s="1">
        <v>44400</v>
      </c>
      <c r="AC160">
        <v>138.9</v>
      </c>
      <c r="AD160">
        <v>1</v>
      </c>
      <c r="AE160" s="1">
        <v>44400</v>
      </c>
      <c r="AF160">
        <v>138.9</v>
      </c>
      <c r="AG160">
        <v>1</v>
      </c>
      <c r="AH160" s="1">
        <v>44400</v>
      </c>
      <c r="AI160">
        <v>138.9</v>
      </c>
      <c r="AJ160">
        <v>1</v>
      </c>
      <c r="AK160" s="1">
        <v>44400</v>
      </c>
      <c r="AL160">
        <v>138.9</v>
      </c>
      <c r="AM160">
        <v>5</v>
      </c>
      <c r="AN160" s="1">
        <v>44404</v>
      </c>
      <c r="AO160">
        <v>147.80000000000001</v>
      </c>
      <c r="AP160">
        <v>54</v>
      </c>
      <c r="AQ160" s="1">
        <v>44453</v>
      </c>
      <c r="AR160">
        <v>152.75</v>
      </c>
    </row>
    <row r="161" spans="1:44" x14ac:dyDescent="0.3">
      <c r="A161" t="s">
        <v>367</v>
      </c>
      <c r="B161" t="s">
        <v>368</v>
      </c>
      <c r="C161">
        <v>837</v>
      </c>
      <c r="D161" s="1">
        <v>44396</v>
      </c>
      <c r="E161">
        <v>2021</v>
      </c>
      <c r="F161">
        <v>7</v>
      </c>
      <c r="G161">
        <v>1715.85</v>
      </c>
      <c r="H161">
        <v>2267.65</v>
      </c>
      <c r="I161" s="1">
        <v>44494</v>
      </c>
      <c r="J161">
        <v>930</v>
      </c>
      <c r="K161" s="1">
        <v>45013</v>
      </c>
      <c r="O161">
        <v>1</v>
      </c>
      <c r="P161" s="1">
        <v>44396</v>
      </c>
      <c r="Q161">
        <v>1838</v>
      </c>
      <c r="R161">
        <v>1</v>
      </c>
      <c r="S161" s="1">
        <v>44396</v>
      </c>
      <c r="T161">
        <v>1838</v>
      </c>
      <c r="U161">
        <v>1</v>
      </c>
      <c r="V161" s="1">
        <v>44396</v>
      </c>
      <c r="W161">
        <v>1838</v>
      </c>
      <c r="X161">
        <v>1</v>
      </c>
      <c r="Y161" s="1">
        <v>44396</v>
      </c>
      <c r="Z161">
        <v>1838</v>
      </c>
      <c r="AA161">
        <v>1</v>
      </c>
      <c r="AB161" s="1">
        <v>44396</v>
      </c>
      <c r="AC161">
        <v>1838</v>
      </c>
      <c r="AD161">
        <v>1</v>
      </c>
      <c r="AE161" s="1">
        <v>44396</v>
      </c>
      <c r="AF161">
        <v>1838</v>
      </c>
      <c r="AG161">
        <v>1</v>
      </c>
      <c r="AH161" s="1">
        <v>44396</v>
      </c>
      <c r="AI161">
        <v>1838</v>
      </c>
      <c r="AJ161">
        <v>1</v>
      </c>
      <c r="AK161" s="1">
        <v>44396</v>
      </c>
      <c r="AL161">
        <v>1838</v>
      </c>
      <c r="AM161">
        <v>1</v>
      </c>
      <c r="AN161" s="1">
        <v>44396</v>
      </c>
      <c r="AO161">
        <v>1838</v>
      </c>
      <c r="AP161">
        <v>1</v>
      </c>
      <c r="AQ161" s="1">
        <v>44396</v>
      </c>
      <c r="AR161">
        <v>1838</v>
      </c>
    </row>
    <row r="162" spans="1:44" x14ac:dyDescent="0.3">
      <c r="A162" t="s">
        <v>369</v>
      </c>
      <c r="B162" t="s">
        <v>370</v>
      </c>
      <c r="C162">
        <v>900</v>
      </c>
      <c r="D162" s="1">
        <v>44396</v>
      </c>
      <c r="E162">
        <v>2021</v>
      </c>
      <c r="F162">
        <v>7</v>
      </c>
      <c r="G162">
        <v>1755</v>
      </c>
      <c r="H162">
        <v>2705</v>
      </c>
      <c r="I162" s="1">
        <v>44566</v>
      </c>
      <c r="J162">
        <v>1227.0999999999999</v>
      </c>
      <c r="K162" s="1">
        <v>45016</v>
      </c>
      <c r="O162">
        <v>1</v>
      </c>
      <c r="P162" s="1">
        <v>44396</v>
      </c>
      <c r="Q162">
        <v>1770.65</v>
      </c>
      <c r="R162">
        <v>1</v>
      </c>
      <c r="S162" s="1">
        <v>44396</v>
      </c>
      <c r="T162">
        <v>1770.65</v>
      </c>
      <c r="U162">
        <v>1</v>
      </c>
      <c r="V162" s="1">
        <v>44396</v>
      </c>
      <c r="W162">
        <v>1770.65</v>
      </c>
      <c r="X162">
        <v>1</v>
      </c>
      <c r="Y162" s="1">
        <v>44396</v>
      </c>
      <c r="Z162">
        <v>1770.65</v>
      </c>
      <c r="AA162">
        <v>1</v>
      </c>
      <c r="AB162" s="1">
        <v>44396</v>
      </c>
      <c r="AC162">
        <v>1770.65</v>
      </c>
      <c r="AD162">
        <v>1</v>
      </c>
      <c r="AE162" s="1">
        <v>44396</v>
      </c>
      <c r="AF162">
        <v>1770.65</v>
      </c>
      <c r="AG162">
        <v>1</v>
      </c>
      <c r="AH162" s="1">
        <v>44396</v>
      </c>
      <c r="AI162">
        <v>1770.65</v>
      </c>
      <c r="AJ162">
        <v>1</v>
      </c>
      <c r="AK162" s="1">
        <v>44396</v>
      </c>
      <c r="AL162">
        <v>1770.65</v>
      </c>
      <c r="AM162">
        <v>1</v>
      </c>
      <c r="AN162" s="1">
        <v>44396</v>
      </c>
      <c r="AO162">
        <v>1770.65</v>
      </c>
      <c r="AP162">
        <v>59</v>
      </c>
      <c r="AQ162" s="1">
        <v>44454</v>
      </c>
      <c r="AR162">
        <v>1849.85</v>
      </c>
    </row>
    <row r="163" spans="1:44" x14ac:dyDescent="0.3">
      <c r="A163" t="s">
        <v>371</v>
      </c>
      <c r="B163" t="s">
        <v>372</v>
      </c>
      <c r="C163">
        <v>296</v>
      </c>
      <c r="D163" s="1">
        <v>44382</v>
      </c>
      <c r="E163">
        <v>2021</v>
      </c>
      <c r="F163">
        <v>7</v>
      </c>
      <c r="G163">
        <v>350</v>
      </c>
      <c r="H163">
        <v>431.75</v>
      </c>
      <c r="I163" s="1">
        <v>45330</v>
      </c>
      <c r="J163">
        <v>191.5</v>
      </c>
      <c r="K163" s="1">
        <v>45447</v>
      </c>
      <c r="O163">
        <v>1</v>
      </c>
      <c r="P163" s="1">
        <v>44382</v>
      </c>
      <c r="Q163">
        <v>368</v>
      </c>
      <c r="R163">
        <v>1</v>
      </c>
      <c r="S163" s="1">
        <v>44382</v>
      </c>
      <c r="T163">
        <v>368</v>
      </c>
      <c r="U163">
        <v>918</v>
      </c>
      <c r="V163" s="1">
        <v>45299</v>
      </c>
      <c r="W163">
        <v>390.9</v>
      </c>
      <c r="X163">
        <v>949</v>
      </c>
      <c r="Y163" s="1">
        <v>45330</v>
      </c>
      <c r="Z163">
        <v>431.75</v>
      </c>
    </row>
    <row r="164" spans="1:44" x14ac:dyDescent="0.3">
      <c r="A164" t="s">
        <v>373</v>
      </c>
      <c r="B164" t="s">
        <v>374</v>
      </c>
      <c r="C164">
        <v>825</v>
      </c>
      <c r="D164" s="1">
        <v>44375</v>
      </c>
      <c r="E164">
        <v>2021</v>
      </c>
      <c r="F164">
        <v>6</v>
      </c>
      <c r="G164">
        <v>1009</v>
      </c>
      <c r="H164">
        <v>2866.15</v>
      </c>
      <c r="I164" s="1">
        <v>45547</v>
      </c>
      <c r="J164">
        <v>539.15</v>
      </c>
      <c r="K164" s="1">
        <v>45553</v>
      </c>
      <c r="O164">
        <v>1</v>
      </c>
      <c r="P164" s="1">
        <v>44375</v>
      </c>
      <c r="Q164">
        <v>1059</v>
      </c>
      <c r="R164">
        <v>1</v>
      </c>
      <c r="S164" s="1">
        <v>44375</v>
      </c>
      <c r="T164">
        <v>1059</v>
      </c>
      <c r="U164">
        <v>8</v>
      </c>
      <c r="V164" s="1">
        <v>44382</v>
      </c>
      <c r="W164">
        <v>1136</v>
      </c>
      <c r="X164">
        <v>15</v>
      </c>
      <c r="Y164" s="1">
        <v>44389</v>
      </c>
      <c r="Z164">
        <v>1211</v>
      </c>
      <c r="AA164">
        <v>17</v>
      </c>
      <c r="AB164" s="1">
        <v>44391</v>
      </c>
      <c r="AC164">
        <v>1274</v>
      </c>
      <c r="AD164">
        <v>18</v>
      </c>
      <c r="AE164" s="1">
        <v>44392</v>
      </c>
      <c r="AF164">
        <v>1325</v>
      </c>
      <c r="AG164">
        <v>162</v>
      </c>
      <c r="AH164" s="1">
        <v>44536</v>
      </c>
      <c r="AI164">
        <v>1426</v>
      </c>
      <c r="AJ164">
        <v>186</v>
      </c>
      <c r="AK164" s="1">
        <v>44560</v>
      </c>
      <c r="AL164">
        <v>1494.95</v>
      </c>
      <c r="AM164">
        <v>460</v>
      </c>
      <c r="AN164" s="1">
        <v>44834</v>
      </c>
      <c r="AO164">
        <v>1573.9</v>
      </c>
      <c r="AP164">
        <v>506</v>
      </c>
      <c r="AQ164" s="1">
        <v>44880</v>
      </c>
      <c r="AR164">
        <v>1668.4</v>
      </c>
    </row>
    <row r="165" spans="1:44" x14ac:dyDescent="0.3">
      <c r="A165" t="s">
        <v>375</v>
      </c>
      <c r="B165" t="s">
        <v>376</v>
      </c>
      <c r="C165">
        <v>428</v>
      </c>
      <c r="D165" s="1">
        <v>44375</v>
      </c>
      <c r="E165">
        <v>2021</v>
      </c>
      <c r="F165">
        <v>6</v>
      </c>
      <c r="G165">
        <v>550</v>
      </c>
      <c r="H165">
        <v>1346.1</v>
      </c>
      <c r="I165" s="1">
        <v>45495</v>
      </c>
      <c r="J165">
        <v>407.6</v>
      </c>
      <c r="K165" s="1">
        <v>44616</v>
      </c>
      <c r="O165">
        <v>1</v>
      </c>
      <c r="P165" s="1">
        <v>44375</v>
      </c>
      <c r="Q165">
        <v>652</v>
      </c>
      <c r="R165">
        <v>1</v>
      </c>
      <c r="S165" s="1">
        <v>44375</v>
      </c>
      <c r="T165">
        <v>652</v>
      </c>
      <c r="U165">
        <v>1</v>
      </c>
      <c r="V165" s="1">
        <v>44375</v>
      </c>
      <c r="W165">
        <v>652</v>
      </c>
      <c r="X165">
        <v>1</v>
      </c>
      <c r="Y165" s="1">
        <v>44375</v>
      </c>
      <c r="Z165">
        <v>652</v>
      </c>
      <c r="AA165">
        <v>1</v>
      </c>
      <c r="AB165" s="1">
        <v>44375</v>
      </c>
      <c r="AC165">
        <v>652</v>
      </c>
      <c r="AD165">
        <v>753</v>
      </c>
      <c r="AE165" s="1">
        <v>45127</v>
      </c>
      <c r="AF165">
        <v>741.75</v>
      </c>
      <c r="AG165">
        <v>753</v>
      </c>
      <c r="AH165" s="1">
        <v>45127</v>
      </c>
      <c r="AI165">
        <v>741.75</v>
      </c>
      <c r="AJ165">
        <v>754</v>
      </c>
      <c r="AK165" s="1">
        <v>45128</v>
      </c>
      <c r="AL165">
        <v>792.35</v>
      </c>
      <c r="AM165">
        <v>757</v>
      </c>
      <c r="AN165" s="1">
        <v>45131</v>
      </c>
      <c r="AO165">
        <v>898.9</v>
      </c>
      <c r="AP165">
        <v>757</v>
      </c>
      <c r="AQ165" s="1">
        <v>45131</v>
      </c>
      <c r="AR165">
        <v>898.9</v>
      </c>
    </row>
    <row r="166" spans="1:44" x14ac:dyDescent="0.3">
      <c r="A166" t="s">
        <v>377</v>
      </c>
      <c r="B166" t="s">
        <v>378</v>
      </c>
      <c r="C166">
        <v>306</v>
      </c>
      <c r="D166" s="1">
        <v>44371</v>
      </c>
      <c r="E166">
        <v>2021</v>
      </c>
      <c r="F166">
        <v>6</v>
      </c>
      <c r="G166">
        <v>380</v>
      </c>
      <c r="H166">
        <v>908.9</v>
      </c>
      <c r="I166" s="1">
        <v>45552</v>
      </c>
      <c r="J166">
        <v>254.55</v>
      </c>
      <c r="K166" s="1">
        <v>45014</v>
      </c>
      <c r="O166">
        <v>1</v>
      </c>
      <c r="P166" s="1">
        <v>44371</v>
      </c>
      <c r="Q166">
        <v>399</v>
      </c>
      <c r="R166">
        <v>1</v>
      </c>
      <c r="S166" s="1">
        <v>44371</v>
      </c>
      <c r="T166">
        <v>399</v>
      </c>
      <c r="U166">
        <v>1</v>
      </c>
      <c r="V166" s="1">
        <v>44371</v>
      </c>
      <c r="W166">
        <v>399</v>
      </c>
      <c r="X166">
        <v>16</v>
      </c>
      <c r="Y166" s="1">
        <v>44386</v>
      </c>
      <c r="Z166">
        <v>428.4</v>
      </c>
      <c r="AA166">
        <v>27</v>
      </c>
      <c r="AB166" s="1">
        <v>44397</v>
      </c>
      <c r="AC166">
        <v>461.15</v>
      </c>
      <c r="AD166">
        <v>803</v>
      </c>
      <c r="AE166" s="1">
        <v>45173</v>
      </c>
      <c r="AF166">
        <v>494.35</v>
      </c>
      <c r="AG166">
        <v>898</v>
      </c>
      <c r="AH166" s="1">
        <v>45268</v>
      </c>
      <c r="AI166">
        <v>525.95000000000005</v>
      </c>
      <c r="AJ166">
        <v>911</v>
      </c>
      <c r="AK166" s="1">
        <v>45281</v>
      </c>
      <c r="AL166">
        <v>573.20000000000005</v>
      </c>
      <c r="AM166">
        <v>912</v>
      </c>
      <c r="AN166" s="1">
        <v>45282</v>
      </c>
      <c r="AO166">
        <v>612</v>
      </c>
      <c r="AP166">
        <v>912</v>
      </c>
      <c r="AQ166" s="1">
        <v>45282</v>
      </c>
      <c r="AR166">
        <v>612</v>
      </c>
    </row>
    <row r="167" spans="1:44" x14ac:dyDescent="0.3">
      <c r="A167" t="s">
        <v>379</v>
      </c>
      <c r="B167" t="s">
        <v>380</v>
      </c>
      <c r="C167">
        <v>291</v>
      </c>
      <c r="D167" s="1">
        <v>44371</v>
      </c>
      <c r="E167">
        <v>2021</v>
      </c>
      <c r="F167">
        <v>6</v>
      </c>
      <c r="G167">
        <v>301</v>
      </c>
      <c r="H167">
        <v>839.9</v>
      </c>
      <c r="I167" s="1">
        <v>44544</v>
      </c>
      <c r="J167">
        <v>295</v>
      </c>
      <c r="K167" s="1">
        <v>44371</v>
      </c>
      <c r="O167">
        <v>1</v>
      </c>
      <c r="P167" s="1">
        <v>44371</v>
      </c>
      <c r="Q167">
        <v>361.2</v>
      </c>
      <c r="R167">
        <v>1</v>
      </c>
      <c r="S167" s="1">
        <v>44371</v>
      </c>
      <c r="T167">
        <v>361.2</v>
      </c>
      <c r="U167">
        <v>2</v>
      </c>
      <c r="V167" s="1">
        <v>44372</v>
      </c>
      <c r="W167">
        <v>413.9</v>
      </c>
      <c r="X167">
        <v>2</v>
      </c>
      <c r="Y167" s="1">
        <v>44372</v>
      </c>
      <c r="Z167">
        <v>413.9</v>
      </c>
      <c r="AA167">
        <v>27</v>
      </c>
      <c r="AB167" s="1">
        <v>44397</v>
      </c>
      <c r="AC167">
        <v>456.9</v>
      </c>
      <c r="AD167">
        <v>47</v>
      </c>
      <c r="AE167" s="1">
        <v>44417</v>
      </c>
      <c r="AF167">
        <v>486.7</v>
      </c>
      <c r="AG167">
        <v>48</v>
      </c>
      <c r="AH167" s="1">
        <v>44418</v>
      </c>
      <c r="AI167">
        <v>559.4</v>
      </c>
      <c r="AJ167">
        <v>48</v>
      </c>
      <c r="AK167" s="1">
        <v>44418</v>
      </c>
      <c r="AL167">
        <v>559.4</v>
      </c>
      <c r="AM167">
        <v>48</v>
      </c>
      <c r="AN167" s="1">
        <v>44418</v>
      </c>
      <c r="AO167">
        <v>559.4</v>
      </c>
      <c r="AP167">
        <v>82</v>
      </c>
      <c r="AQ167" s="1">
        <v>44452</v>
      </c>
      <c r="AR167">
        <v>589.29999999999995</v>
      </c>
    </row>
    <row r="168" spans="1:44" x14ac:dyDescent="0.3">
      <c r="A168" t="s">
        <v>381</v>
      </c>
      <c r="B168" t="s">
        <v>382</v>
      </c>
      <c r="C168">
        <v>486</v>
      </c>
      <c r="D168" s="1">
        <v>44305</v>
      </c>
      <c r="E168">
        <v>2021</v>
      </c>
      <c r="F168">
        <v>4</v>
      </c>
      <c r="G168">
        <v>436</v>
      </c>
      <c r="H168">
        <v>1649.95</v>
      </c>
      <c r="I168" s="1">
        <v>45461</v>
      </c>
      <c r="J168">
        <v>422.6</v>
      </c>
      <c r="K168" s="1">
        <v>44305</v>
      </c>
      <c r="O168">
        <v>4</v>
      </c>
      <c r="P168" s="1">
        <v>44308</v>
      </c>
      <c r="Q168">
        <v>542.75</v>
      </c>
      <c r="R168">
        <v>8</v>
      </c>
      <c r="S168" s="1">
        <v>44312</v>
      </c>
      <c r="T168">
        <v>586</v>
      </c>
      <c r="U168">
        <v>19</v>
      </c>
      <c r="V168" s="1">
        <v>44323</v>
      </c>
      <c r="W168">
        <v>638</v>
      </c>
      <c r="X168">
        <v>22</v>
      </c>
      <c r="Y168" s="1">
        <v>44326</v>
      </c>
      <c r="Z168">
        <v>758.1</v>
      </c>
      <c r="AA168">
        <v>22</v>
      </c>
      <c r="AB168" s="1">
        <v>44326</v>
      </c>
      <c r="AC168">
        <v>758.1</v>
      </c>
      <c r="AD168">
        <v>82</v>
      </c>
      <c r="AE168" s="1">
        <v>44386</v>
      </c>
      <c r="AF168">
        <v>789</v>
      </c>
      <c r="AG168">
        <v>87</v>
      </c>
      <c r="AH168" s="1">
        <v>44391</v>
      </c>
      <c r="AI168">
        <v>826.95</v>
      </c>
      <c r="AJ168">
        <v>100</v>
      </c>
      <c r="AK168" s="1">
        <v>44404</v>
      </c>
      <c r="AL168">
        <v>885</v>
      </c>
      <c r="AM168">
        <v>106</v>
      </c>
      <c r="AN168" s="1">
        <v>44410</v>
      </c>
      <c r="AO168">
        <v>928.1</v>
      </c>
      <c r="AP168">
        <v>135</v>
      </c>
      <c r="AQ168" s="1">
        <v>44439</v>
      </c>
      <c r="AR168">
        <v>973.25</v>
      </c>
    </row>
    <row r="169" spans="1:44" x14ac:dyDescent="0.3">
      <c r="A169" t="s">
        <v>383</v>
      </c>
      <c r="B169" t="s">
        <v>384</v>
      </c>
      <c r="C169">
        <v>1101</v>
      </c>
      <c r="D169" s="1">
        <v>44285</v>
      </c>
      <c r="E169">
        <v>2021</v>
      </c>
      <c r="F169">
        <v>3</v>
      </c>
      <c r="G169">
        <v>1990</v>
      </c>
      <c r="H169">
        <v>3356</v>
      </c>
      <c r="I169" s="1">
        <v>44480</v>
      </c>
      <c r="J169">
        <v>480.35</v>
      </c>
      <c r="K169" s="1">
        <v>44882</v>
      </c>
      <c r="O169">
        <v>1</v>
      </c>
      <c r="P169" s="1">
        <v>44285</v>
      </c>
      <c r="Q169">
        <v>2024.9</v>
      </c>
      <c r="R169">
        <v>1</v>
      </c>
      <c r="S169" s="1">
        <v>44285</v>
      </c>
      <c r="T169">
        <v>2024.9</v>
      </c>
      <c r="U169">
        <v>1</v>
      </c>
      <c r="V169" s="1">
        <v>44285</v>
      </c>
      <c r="W169">
        <v>2024.9</v>
      </c>
      <c r="X169">
        <v>1</v>
      </c>
      <c r="Y169" s="1">
        <v>44285</v>
      </c>
      <c r="Z169">
        <v>2024.9</v>
      </c>
      <c r="AA169">
        <v>1</v>
      </c>
      <c r="AB169" s="1">
        <v>44285</v>
      </c>
      <c r="AC169">
        <v>2024.9</v>
      </c>
      <c r="AD169">
        <v>1</v>
      </c>
      <c r="AE169" s="1">
        <v>44285</v>
      </c>
      <c r="AF169">
        <v>2024.9</v>
      </c>
      <c r="AG169">
        <v>1</v>
      </c>
      <c r="AH169" s="1">
        <v>44285</v>
      </c>
      <c r="AI169">
        <v>2024.9</v>
      </c>
      <c r="AJ169">
        <v>1</v>
      </c>
      <c r="AK169" s="1">
        <v>44285</v>
      </c>
      <c r="AL169">
        <v>2024.9</v>
      </c>
      <c r="AM169">
        <v>170</v>
      </c>
      <c r="AN169" s="1">
        <v>44454</v>
      </c>
      <c r="AO169">
        <v>2214</v>
      </c>
      <c r="AP169">
        <v>170</v>
      </c>
      <c r="AQ169" s="1">
        <v>44454</v>
      </c>
      <c r="AR169">
        <v>2214</v>
      </c>
    </row>
    <row r="170" spans="1:44" x14ac:dyDescent="0.3">
      <c r="A170" t="s">
        <v>385</v>
      </c>
      <c r="B170" t="s">
        <v>386</v>
      </c>
      <c r="C170">
        <v>305</v>
      </c>
      <c r="D170" s="1">
        <v>44281</v>
      </c>
      <c r="E170">
        <v>2021</v>
      </c>
      <c r="F170">
        <v>3</v>
      </c>
      <c r="G170">
        <v>292</v>
      </c>
      <c r="H170">
        <v>296.35000000000002</v>
      </c>
      <c r="I170" s="1">
        <v>44281</v>
      </c>
      <c r="J170">
        <v>77</v>
      </c>
      <c r="K170" s="1">
        <v>44743</v>
      </c>
    </row>
    <row r="171" spans="1:44" x14ac:dyDescent="0.3">
      <c r="A171" t="s">
        <v>387</v>
      </c>
      <c r="B171" t="s">
        <v>388</v>
      </c>
      <c r="C171">
        <v>87</v>
      </c>
      <c r="D171" s="1">
        <v>44281</v>
      </c>
      <c r="E171">
        <v>2021</v>
      </c>
      <c r="F171">
        <v>3</v>
      </c>
      <c r="G171">
        <v>73.95</v>
      </c>
      <c r="H171">
        <v>749</v>
      </c>
      <c r="I171" s="1">
        <v>45548</v>
      </c>
      <c r="J171">
        <v>55.05</v>
      </c>
      <c r="K171" s="1">
        <v>44732</v>
      </c>
      <c r="O171">
        <v>539</v>
      </c>
      <c r="P171" s="1">
        <v>44819</v>
      </c>
      <c r="Q171">
        <v>101.4</v>
      </c>
      <c r="R171">
        <v>561</v>
      </c>
      <c r="S171" s="1">
        <v>44841</v>
      </c>
      <c r="T171">
        <v>104.65</v>
      </c>
      <c r="U171">
        <v>620</v>
      </c>
      <c r="V171" s="1">
        <v>44900</v>
      </c>
      <c r="W171">
        <v>116.4</v>
      </c>
      <c r="X171">
        <v>628</v>
      </c>
      <c r="Y171" s="1">
        <v>44908</v>
      </c>
      <c r="Z171">
        <v>122.95</v>
      </c>
      <c r="AA171">
        <v>635</v>
      </c>
      <c r="AB171" s="1">
        <v>44915</v>
      </c>
      <c r="AC171">
        <v>131.80000000000001</v>
      </c>
      <c r="AD171">
        <v>825</v>
      </c>
      <c r="AE171" s="1">
        <v>45105</v>
      </c>
      <c r="AF171">
        <v>143.75</v>
      </c>
      <c r="AG171">
        <v>827</v>
      </c>
      <c r="AH171" s="1">
        <v>45107</v>
      </c>
      <c r="AI171">
        <v>148.6</v>
      </c>
      <c r="AJ171">
        <v>834</v>
      </c>
      <c r="AK171" s="1">
        <v>45114</v>
      </c>
      <c r="AL171">
        <v>166.5</v>
      </c>
      <c r="AM171">
        <v>834</v>
      </c>
      <c r="AN171" s="1">
        <v>45114</v>
      </c>
      <c r="AO171">
        <v>166.5</v>
      </c>
      <c r="AP171">
        <v>838</v>
      </c>
      <c r="AQ171" s="1">
        <v>45118</v>
      </c>
      <c r="AR171">
        <v>175.9</v>
      </c>
    </row>
    <row r="172" spans="1:44" x14ac:dyDescent="0.3">
      <c r="A172" t="s">
        <v>389</v>
      </c>
      <c r="B172" t="s">
        <v>390</v>
      </c>
      <c r="C172">
        <v>1490</v>
      </c>
      <c r="D172" s="1">
        <v>44280</v>
      </c>
      <c r="E172">
        <v>2021</v>
      </c>
      <c r="F172">
        <v>3</v>
      </c>
      <c r="G172">
        <v>1359</v>
      </c>
      <c r="H172">
        <v>6679.65</v>
      </c>
      <c r="I172" s="1">
        <v>45530</v>
      </c>
      <c r="J172">
        <v>1245</v>
      </c>
      <c r="K172" s="1">
        <v>44308</v>
      </c>
      <c r="O172">
        <v>63</v>
      </c>
      <c r="P172" s="1">
        <v>44342</v>
      </c>
      <c r="Q172">
        <v>1648</v>
      </c>
      <c r="R172">
        <v>70</v>
      </c>
      <c r="S172" s="1">
        <v>44349</v>
      </c>
      <c r="T172">
        <v>1794</v>
      </c>
      <c r="U172">
        <v>103</v>
      </c>
      <c r="V172" s="1">
        <v>44382</v>
      </c>
      <c r="W172">
        <v>2094</v>
      </c>
      <c r="X172">
        <v>103</v>
      </c>
      <c r="Y172" s="1">
        <v>44382</v>
      </c>
      <c r="Z172">
        <v>2094</v>
      </c>
      <c r="AA172">
        <v>184</v>
      </c>
      <c r="AB172" s="1">
        <v>44463</v>
      </c>
      <c r="AC172">
        <v>2242</v>
      </c>
      <c r="AD172">
        <v>203</v>
      </c>
      <c r="AE172" s="1">
        <v>44482</v>
      </c>
      <c r="AF172">
        <v>2540</v>
      </c>
      <c r="AG172">
        <v>203</v>
      </c>
      <c r="AH172" s="1">
        <v>44482</v>
      </c>
      <c r="AI172">
        <v>2540</v>
      </c>
      <c r="AJ172">
        <v>209</v>
      </c>
      <c r="AK172" s="1">
        <v>44488</v>
      </c>
      <c r="AL172">
        <v>2710</v>
      </c>
      <c r="AM172">
        <v>492</v>
      </c>
      <c r="AN172" s="1">
        <v>44771</v>
      </c>
      <c r="AO172">
        <v>2853.9</v>
      </c>
      <c r="AP172">
        <v>545</v>
      </c>
      <c r="AQ172" s="1">
        <v>44824</v>
      </c>
      <c r="AR172">
        <v>2994.85</v>
      </c>
    </row>
    <row r="173" spans="1:44" x14ac:dyDescent="0.3">
      <c r="A173" t="s">
        <v>391</v>
      </c>
      <c r="B173" t="s">
        <v>392</v>
      </c>
      <c r="C173">
        <v>130</v>
      </c>
      <c r="D173" s="1">
        <v>44280</v>
      </c>
      <c r="E173">
        <v>2021</v>
      </c>
      <c r="F173">
        <v>3</v>
      </c>
      <c r="G173">
        <v>155.5</v>
      </c>
      <c r="H173">
        <v>628</v>
      </c>
      <c r="I173" s="1">
        <v>44455</v>
      </c>
      <c r="J173">
        <v>143.25</v>
      </c>
      <c r="K173" s="1">
        <v>44280</v>
      </c>
      <c r="O173">
        <v>1</v>
      </c>
      <c r="P173" s="1">
        <v>44280</v>
      </c>
      <c r="Q173">
        <v>174.6</v>
      </c>
      <c r="R173">
        <v>1</v>
      </c>
      <c r="S173" s="1">
        <v>44280</v>
      </c>
      <c r="T173">
        <v>174.6</v>
      </c>
      <c r="U173">
        <v>1</v>
      </c>
      <c r="V173" s="1">
        <v>44280</v>
      </c>
      <c r="W173">
        <v>174.6</v>
      </c>
      <c r="X173">
        <v>2</v>
      </c>
      <c r="Y173" s="1">
        <v>44281</v>
      </c>
      <c r="Z173">
        <v>194.4</v>
      </c>
      <c r="AA173">
        <v>14</v>
      </c>
      <c r="AB173" s="1">
        <v>44293</v>
      </c>
      <c r="AC173">
        <v>209</v>
      </c>
      <c r="AD173">
        <v>14</v>
      </c>
      <c r="AE173" s="1">
        <v>44293</v>
      </c>
      <c r="AF173">
        <v>209</v>
      </c>
      <c r="AG173">
        <v>41</v>
      </c>
      <c r="AH173" s="1">
        <v>44320</v>
      </c>
      <c r="AI173">
        <v>237.85</v>
      </c>
      <c r="AJ173">
        <v>41</v>
      </c>
      <c r="AK173" s="1">
        <v>44320</v>
      </c>
      <c r="AL173">
        <v>237.85</v>
      </c>
      <c r="AM173">
        <v>100</v>
      </c>
      <c r="AN173" s="1">
        <v>44379</v>
      </c>
      <c r="AO173">
        <v>250.7</v>
      </c>
      <c r="AP173">
        <v>105</v>
      </c>
      <c r="AQ173" s="1">
        <v>44384</v>
      </c>
      <c r="AR173">
        <v>263.8</v>
      </c>
    </row>
    <row r="174" spans="1:44" x14ac:dyDescent="0.3">
      <c r="A174" t="s">
        <v>393</v>
      </c>
      <c r="B174" t="s">
        <v>394</v>
      </c>
      <c r="C174">
        <v>187</v>
      </c>
      <c r="D174" s="1">
        <v>44274</v>
      </c>
      <c r="E174">
        <v>2021</v>
      </c>
      <c r="F174">
        <v>3</v>
      </c>
      <c r="G174">
        <v>212.25</v>
      </c>
      <c r="H174">
        <v>717.65</v>
      </c>
      <c r="I174" s="1">
        <v>44456</v>
      </c>
      <c r="J174">
        <v>37</v>
      </c>
      <c r="K174" s="1">
        <v>45225</v>
      </c>
      <c r="O174">
        <v>1</v>
      </c>
      <c r="P174" s="1">
        <v>44274</v>
      </c>
      <c r="Q174">
        <v>234</v>
      </c>
      <c r="R174">
        <v>1</v>
      </c>
      <c r="S174" s="1">
        <v>44274</v>
      </c>
      <c r="T174">
        <v>234</v>
      </c>
      <c r="U174">
        <v>62</v>
      </c>
      <c r="V174" s="1">
        <v>44335</v>
      </c>
      <c r="W174">
        <v>252.7</v>
      </c>
      <c r="X174">
        <v>67</v>
      </c>
      <c r="Y174" s="1">
        <v>44340</v>
      </c>
      <c r="Z174">
        <v>269.85000000000002</v>
      </c>
      <c r="AA174">
        <v>68</v>
      </c>
      <c r="AB174" s="1">
        <v>44341</v>
      </c>
      <c r="AC174">
        <v>294.5</v>
      </c>
      <c r="AD174">
        <v>74</v>
      </c>
      <c r="AE174" s="1">
        <v>44347</v>
      </c>
      <c r="AF174">
        <v>334.25</v>
      </c>
      <c r="AG174">
        <v>74</v>
      </c>
      <c r="AH174" s="1">
        <v>44347</v>
      </c>
      <c r="AI174">
        <v>334.25</v>
      </c>
      <c r="AJ174">
        <v>75</v>
      </c>
      <c r="AK174" s="1">
        <v>44348</v>
      </c>
      <c r="AL174">
        <v>344</v>
      </c>
      <c r="AM174">
        <v>76</v>
      </c>
      <c r="AN174" s="1">
        <v>44349</v>
      </c>
      <c r="AO174">
        <v>365.6</v>
      </c>
      <c r="AP174">
        <v>77</v>
      </c>
      <c r="AQ174" s="1">
        <v>44350</v>
      </c>
      <c r="AR174">
        <v>397.7</v>
      </c>
    </row>
    <row r="175" spans="1:44" x14ac:dyDescent="0.3">
      <c r="A175" t="s">
        <v>395</v>
      </c>
      <c r="B175" t="s">
        <v>396</v>
      </c>
      <c r="C175">
        <v>575</v>
      </c>
      <c r="D175" s="1">
        <v>44270</v>
      </c>
      <c r="E175">
        <v>2021</v>
      </c>
      <c r="F175">
        <v>3</v>
      </c>
      <c r="G175">
        <v>1050</v>
      </c>
      <c r="H175">
        <v>2920.35</v>
      </c>
      <c r="I175" s="1">
        <v>45180</v>
      </c>
      <c r="J175">
        <v>860</v>
      </c>
      <c r="K175" s="1">
        <v>44274</v>
      </c>
      <c r="O175">
        <v>1</v>
      </c>
      <c r="P175" s="1">
        <v>44270</v>
      </c>
      <c r="Q175">
        <v>1154.9000000000001</v>
      </c>
      <c r="R175">
        <v>1</v>
      </c>
      <c r="S175" s="1">
        <v>44270</v>
      </c>
      <c r="T175">
        <v>1154.9000000000001</v>
      </c>
      <c r="U175">
        <v>1</v>
      </c>
      <c r="V175" s="1">
        <v>44270</v>
      </c>
      <c r="W175">
        <v>1154.9000000000001</v>
      </c>
      <c r="X175">
        <v>1</v>
      </c>
      <c r="Y175" s="1">
        <v>44270</v>
      </c>
      <c r="Z175">
        <v>1154.9000000000001</v>
      </c>
      <c r="AA175">
        <v>1</v>
      </c>
      <c r="AB175" s="1">
        <v>44270</v>
      </c>
      <c r="AC175">
        <v>1154.9000000000001</v>
      </c>
      <c r="AD175">
        <v>1</v>
      </c>
      <c r="AE175" s="1">
        <v>44270</v>
      </c>
      <c r="AF175">
        <v>1154.9000000000001</v>
      </c>
      <c r="AG175">
        <v>1</v>
      </c>
      <c r="AH175" s="1">
        <v>44270</v>
      </c>
      <c r="AI175">
        <v>1154.9000000000001</v>
      </c>
      <c r="AJ175">
        <v>1</v>
      </c>
      <c r="AK175" s="1">
        <v>44270</v>
      </c>
      <c r="AL175">
        <v>1154.9000000000001</v>
      </c>
      <c r="AM175">
        <v>1</v>
      </c>
      <c r="AN175" s="1">
        <v>44270</v>
      </c>
      <c r="AO175">
        <v>1154.9000000000001</v>
      </c>
      <c r="AP175">
        <v>1</v>
      </c>
      <c r="AQ175" s="1">
        <v>44270</v>
      </c>
      <c r="AR175">
        <v>1154.9000000000001</v>
      </c>
    </row>
    <row r="176" spans="1:44" x14ac:dyDescent="0.3">
      <c r="A176" t="s">
        <v>397</v>
      </c>
      <c r="B176" t="s">
        <v>398</v>
      </c>
      <c r="C176">
        <v>627</v>
      </c>
      <c r="D176" s="1">
        <v>44260</v>
      </c>
      <c r="E176">
        <v>2021</v>
      </c>
      <c r="F176">
        <v>3</v>
      </c>
      <c r="G176">
        <v>900</v>
      </c>
      <c r="H176">
        <v>945</v>
      </c>
      <c r="I176" s="1">
        <v>44260</v>
      </c>
      <c r="J176">
        <v>265</v>
      </c>
      <c r="K176" s="1">
        <v>45014</v>
      </c>
      <c r="O176">
        <v>1</v>
      </c>
      <c r="P176" s="1">
        <v>44260</v>
      </c>
      <c r="Q176">
        <v>945</v>
      </c>
      <c r="R176">
        <v>1</v>
      </c>
      <c r="S176" s="1">
        <v>44260</v>
      </c>
      <c r="T176">
        <v>945</v>
      </c>
      <c r="U176">
        <v>1</v>
      </c>
      <c r="V176" s="1">
        <v>44260</v>
      </c>
      <c r="W176">
        <v>945</v>
      </c>
      <c r="X176">
        <v>1</v>
      </c>
      <c r="Y176" s="1">
        <v>44260</v>
      </c>
      <c r="Z176">
        <v>945</v>
      </c>
      <c r="AA176">
        <v>1</v>
      </c>
      <c r="AB176" s="1">
        <v>44260</v>
      </c>
      <c r="AC176">
        <v>945</v>
      </c>
    </row>
    <row r="177" spans="1:44" x14ac:dyDescent="0.3">
      <c r="A177" t="s">
        <v>399</v>
      </c>
      <c r="B177" t="s">
        <v>400</v>
      </c>
      <c r="C177">
        <v>94</v>
      </c>
      <c r="D177" s="1">
        <v>44253</v>
      </c>
      <c r="E177">
        <v>2021</v>
      </c>
      <c r="F177">
        <v>2</v>
      </c>
      <c r="G177">
        <v>109</v>
      </c>
      <c r="H177">
        <v>617.79999999999995</v>
      </c>
      <c r="I177" s="1">
        <v>45485</v>
      </c>
      <c r="J177">
        <v>84</v>
      </c>
      <c r="K177" s="1">
        <v>44651</v>
      </c>
      <c r="O177">
        <v>1</v>
      </c>
      <c r="P177" s="1">
        <v>44253</v>
      </c>
      <c r="Q177">
        <v>127.85</v>
      </c>
      <c r="R177">
        <v>1</v>
      </c>
      <c r="S177" s="1">
        <v>44253</v>
      </c>
      <c r="T177">
        <v>127.85</v>
      </c>
      <c r="U177">
        <v>1</v>
      </c>
      <c r="V177" s="1">
        <v>44253</v>
      </c>
      <c r="W177">
        <v>127.85</v>
      </c>
      <c r="X177">
        <v>4</v>
      </c>
      <c r="Y177" s="1">
        <v>44256</v>
      </c>
      <c r="Z177">
        <v>145.6</v>
      </c>
      <c r="AA177">
        <v>4</v>
      </c>
      <c r="AB177" s="1">
        <v>44256</v>
      </c>
      <c r="AC177">
        <v>145.6</v>
      </c>
      <c r="AD177">
        <v>5</v>
      </c>
      <c r="AE177" s="1">
        <v>44257</v>
      </c>
      <c r="AF177">
        <v>174.7</v>
      </c>
      <c r="AG177">
        <v>5</v>
      </c>
      <c r="AH177" s="1">
        <v>44257</v>
      </c>
      <c r="AI177">
        <v>174.7</v>
      </c>
      <c r="AJ177">
        <v>5</v>
      </c>
      <c r="AK177" s="1">
        <v>44257</v>
      </c>
      <c r="AL177">
        <v>174.7</v>
      </c>
      <c r="AM177">
        <v>6</v>
      </c>
      <c r="AN177" s="1">
        <v>44258</v>
      </c>
      <c r="AO177">
        <v>189.7</v>
      </c>
      <c r="AP177">
        <v>6</v>
      </c>
      <c r="AQ177" s="1">
        <v>44258</v>
      </c>
      <c r="AR177">
        <v>189.7</v>
      </c>
    </row>
    <row r="178" spans="1:44" x14ac:dyDescent="0.3">
      <c r="A178" t="s">
        <v>401</v>
      </c>
      <c r="B178" t="s">
        <v>402</v>
      </c>
      <c r="C178">
        <v>385</v>
      </c>
      <c r="D178" s="1">
        <v>44232</v>
      </c>
      <c r="E178">
        <v>2021</v>
      </c>
      <c r="F178">
        <v>2</v>
      </c>
      <c r="G178">
        <v>498</v>
      </c>
      <c r="H178">
        <v>1133.7</v>
      </c>
      <c r="I178" s="1">
        <v>44487</v>
      </c>
      <c r="J178">
        <v>353.1</v>
      </c>
      <c r="K178" s="1">
        <v>45005</v>
      </c>
      <c r="O178">
        <v>1</v>
      </c>
      <c r="P178" s="1">
        <v>44232</v>
      </c>
      <c r="Q178">
        <v>498</v>
      </c>
      <c r="R178">
        <v>1</v>
      </c>
      <c r="S178" s="1">
        <v>44232</v>
      </c>
      <c r="T178">
        <v>498</v>
      </c>
      <c r="U178">
        <v>8</v>
      </c>
      <c r="V178" s="1">
        <v>44239</v>
      </c>
      <c r="W178">
        <v>545.45000000000005</v>
      </c>
      <c r="X178">
        <v>8</v>
      </c>
      <c r="Y178" s="1">
        <v>44239</v>
      </c>
      <c r="Z178">
        <v>545.45000000000005</v>
      </c>
      <c r="AA178">
        <v>104</v>
      </c>
      <c r="AB178" s="1">
        <v>44335</v>
      </c>
      <c r="AC178">
        <v>612.75</v>
      </c>
      <c r="AD178">
        <v>106</v>
      </c>
      <c r="AE178" s="1">
        <v>44337</v>
      </c>
      <c r="AF178">
        <v>653.95000000000005</v>
      </c>
      <c r="AG178">
        <v>110</v>
      </c>
      <c r="AH178" s="1">
        <v>44341</v>
      </c>
      <c r="AI178">
        <v>683.7</v>
      </c>
      <c r="AJ178">
        <v>145</v>
      </c>
      <c r="AK178" s="1">
        <v>44376</v>
      </c>
      <c r="AL178">
        <v>734</v>
      </c>
      <c r="AM178">
        <v>145</v>
      </c>
      <c r="AN178" s="1">
        <v>44376</v>
      </c>
      <c r="AO178">
        <v>734</v>
      </c>
      <c r="AP178">
        <v>146</v>
      </c>
      <c r="AQ178" s="1">
        <v>44377</v>
      </c>
      <c r="AR178">
        <v>786.65</v>
      </c>
    </row>
    <row r="179" spans="1:44" x14ac:dyDescent="0.3">
      <c r="A179" t="s">
        <v>403</v>
      </c>
      <c r="B179" t="s">
        <v>404</v>
      </c>
      <c r="C179">
        <v>518</v>
      </c>
      <c r="D179" s="1">
        <v>44230</v>
      </c>
      <c r="E179">
        <v>2021</v>
      </c>
      <c r="F179">
        <v>2</v>
      </c>
      <c r="G179">
        <v>618.79999999999995</v>
      </c>
      <c r="H179">
        <v>1274</v>
      </c>
      <c r="I179" s="1">
        <v>45548</v>
      </c>
      <c r="J179">
        <v>440</v>
      </c>
      <c r="K179" s="1">
        <v>44298</v>
      </c>
      <c r="O179">
        <v>1</v>
      </c>
      <c r="P179" s="1">
        <v>44230</v>
      </c>
      <c r="Q179">
        <v>640</v>
      </c>
      <c r="R179">
        <v>1</v>
      </c>
      <c r="S179" s="1">
        <v>44230</v>
      </c>
      <c r="T179">
        <v>640</v>
      </c>
      <c r="U179">
        <v>252</v>
      </c>
      <c r="V179" s="1">
        <v>44481</v>
      </c>
      <c r="W179">
        <v>691.8</v>
      </c>
      <c r="X179">
        <v>272</v>
      </c>
      <c r="Y179" s="1">
        <v>44501</v>
      </c>
      <c r="Z179">
        <v>732.1</v>
      </c>
      <c r="AA179">
        <v>288</v>
      </c>
      <c r="AB179" s="1">
        <v>44517</v>
      </c>
      <c r="AC179">
        <v>807.95</v>
      </c>
      <c r="AD179">
        <v>296</v>
      </c>
      <c r="AE179" s="1">
        <v>44525</v>
      </c>
      <c r="AF179">
        <v>884</v>
      </c>
      <c r="AG179">
        <v>296</v>
      </c>
      <c r="AH179" s="1">
        <v>44525</v>
      </c>
      <c r="AI179">
        <v>884</v>
      </c>
      <c r="AJ179">
        <v>556</v>
      </c>
      <c r="AK179" s="1">
        <v>44785</v>
      </c>
      <c r="AL179">
        <v>945</v>
      </c>
      <c r="AM179">
        <v>560</v>
      </c>
      <c r="AN179" s="1">
        <v>44789</v>
      </c>
      <c r="AO179">
        <v>1004.55</v>
      </c>
      <c r="AP179">
        <v>1038</v>
      </c>
      <c r="AQ179" s="1">
        <v>45267</v>
      </c>
      <c r="AR179">
        <v>1038</v>
      </c>
    </row>
    <row r="180" spans="1:44" x14ac:dyDescent="0.3">
      <c r="A180" t="s">
        <v>405</v>
      </c>
      <c r="B180" t="s">
        <v>406</v>
      </c>
      <c r="C180">
        <v>1490</v>
      </c>
      <c r="D180" s="1">
        <v>44229</v>
      </c>
      <c r="E180">
        <v>2021</v>
      </c>
      <c r="F180">
        <v>2</v>
      </c>
      <c r="G180">
        <v>2607.5</v>
      </c>
      <c r="H180">
        <v>3329.95</v>
      </c>
      <c r="I180" s="1">
        <v>44230</v>
      </c>
      <c r="J180">
        <v>981.95</v>
      </c>
      <c r="K180" s="1">
        <v>45013</v>
      </c>
      <c r="O180">
        <v>1</v>
      </c>
      <c r="P180" s="1">
        <v>44229</v>
      </c>
      <c r="Q180">
        <v>3129</v>
      </c>
      <c r="R180">
        <v>1</v>
      </c>
      <c r="S180" s="1">
        <v>44229</v>
      </c>
      <c r="T180">
        <v>3129</v>
      </c>
      <c r="U180">
        <v>1</v>
      </c>
      <c r="V180" s="1">
        <v>44229</v>
      </c>
      <c r="W180">
        <v>3129</v>
      </c>
      <c r="X180">
        <v>1</v>
      </c>
      <c r="Y180" s="1">
        <v>44229</v>
      </c>
      <c r="Z180">
        <v>3129</v>
      </c>
      <c r="AA180">
        <v>1</v>
      </c>
      <c r="AB180" s="1">
        <v>44229</v>
      </c>
      <c r="AC180">
        <v>3129</v>
      </c>
      <c r="AD180">
        <v>1</v>
      </c>
      <c r="AE180" s="1">
        <v>44229</v>
      </c>
      <c r="AF180">
        <v>3129</v>
      </c>
      <c r="AG180">
        <v>1</v>
      </c>
      <c r="AH180" s="1">
        <v>44229</v>
      </c>
      <c r="AI180">
        <v>3129</v>
      </c>
      <c r="AJ180">
        <v>1</v>
      </c>
      <c r="AK180" s="1">
        <v>44229</v>
      </c>
      <c r="AL180">
        <v>3129</v>
      </c>
      <c r="AM180">
        <v>1</v>
      </c>
      <c r="AN180" s="1">
        <v>44229</v>
      </c>
      <c r="AO180">
        <v>3129</v>
      </c>
      <c r="AP180">
        <v>1</v>
      </c>
      <c r="AQ180" s="1">
        <v>44229</v>
      </c>
      <c r="AR180">
        <v>3129</v>
      </c>
    </row>
    <row r="181" spans="1:44" x14ac:dyDescent="0.3">
      <c r="A181" t="s">
        <v>407</v>
      </c>
      <c r="B181" t="s">
        <v>408</v>
      </c>
      <c r="C181">
        <v>315</v>
      </c>
      <c r="D181" s="1">
        <v>44197</v>
      </c>
      <c r="E181">
        <v>2021</v>
      </c>
      <c r="F181">
        <v>1</v>
      </c>
      <c r="G181">
        <v>436.1</v>
      </c>
      <c r="H181">
        <v>902</v>
      </c>
      <c r="I181" s="1">
        <v>45499</v>
      </c>
      <c r="J181">
        <v>234</v>
      </c>
      <c r="K181" s="1">
        <v>44707</v>
      </c>
      <c r="O181">
        <v>1</v>
      </c>
      <c r="P181" s="1">
        <v>44197</v>
      </c>
      <c r="Q181">
        <v>489.9</v>
      </c>
      <c r="R181">
        <v>1</v>
      </c>
      <c r="S181" s="1">
        <v>44197</v>
      </c>
      <c r="T181">
        <v>489.9</v>
      </c>
      <c r="U181">
        <v>1</v>
      </c>
      <c r="V181" s="1">
        <v>44197</v>
      </c>
      <c r="W181">
        <v>489.9</v>
      </c>
      <c r="X181">
        <v>1</v>
      </c>
      <c r="Y181" s="1">
        <v>44197</v>
      </c>
      <c r="Z181">
        <v>489.9</v>
      </c>
      <c r="AA181">
        <v>1</v>
      </c>
      <c r="AB181" s="1">
        <v>44197</v>
      </c>
      <c r="AC181">
        <v>489.9</v>
      </c>
      <c r="AD181">
        <v>1047</v>
      </c>
      <c r="AE181" s="1">
        <v>45243</v>
      </c>
      <c r="AF181">
        <v>532.9</v>
      </c>
      <c r="AG181">
        <v>1105</v>
      </c>
      <c r="AH181" s="1">
        <v>45301</v>
      </c>
      <c r="AI181">
        <v>557</v>
      </c>
      <c r="AJ181">
        <v>1126</v>
      </c>
      <c r="AK181" s="1">
        <v>45322</v>
      </c>
      <c r="AL181">
        <v>579.1</v>
      </c>
      <c r="AM181">
        <v>1282</v>
      </c>
      <c r="AN181" s="1">
        <v>45478</v>
      </c>
      <c r="AO181">
        <v>612</v>
      </c>
      <c r="AP181">
        <v>1295</v>
      </c>
      <c r="AQ181" s="1">
        <v>45491</v>
      </c>
      <c r="AR181">
        <v>636.79999999999995</v>
      </c>
    </row>
    <row r="182" spans="1:44" x14ac:dyDescent="0.3">
      <c r="A182" t="s">
        <v>409</v>
      </c>
      <c r="B182" t="s">
        <v>410</v>
      </c>
      <c r="C182">
        <v>288</v>
      </c>
      <c r="D182" s="1">
        <v>44189</v>
      </c>
      <c r="E182">
        <v>2020</v>
      </c>
      <c r="F182">
        <v>12</v>
      </c>
      <c r="G182">
        <v>500</v>
      </c>
      <c r="H182">
        <v>2009</v>
      </c>
      <c r="I182" s="1">
        <v>45547</v>
      </c>
      <c r="J182">
        <v>245</v>
      </c>
      <c r="K182" s="1">
        <v>44732</v>
      </c>
      <c r="O182">
        <v>1</v>
      </c>
      <c r="P182" s="1">
        <v>44189</v>
      </c>
      <c r="Q182">
        <v>600</v>
      </c>
      <c r="R182">
        <v>1</v>
      </c>
      <c r="S182" s="1">
        <v>44189</v>
      </c>
      <c r="T182">
        <v>600</v>
      </c>
      <c r="U182">
        <v>1</v>
      </c>
      <c r="V182" s="1">
        <v>44189</v>
      </c>
      <c r="W182">
        <v>600</v>
      </c>
      <c r="X182">
        <v>1</v>
      </c>
      <c r="Y182" s="1">
        <v>44189</v>
      </c>
      <c r="Z182">
        <v>600</v>
      </c>
      <c r="AA182">
        <v>1</v>
      </c>
      <c r="AB182" s="1">
        <v>44189</v>
      </c>
      <c r="AC182">
        <v>600</v>
      </c>
      <c r="AD182">
        <v>1</v>
      </c>
      <c r="AE182" s="1">
        <v>44189</v>
      </c>
      <c r="AF182">
        <v>600</v>
      </c>
      <c r="AG182">
        <v>1</v>
      </c>
      <c r="AH182" s="1">
        <v>44189</v>
      </c>
      <c r="AI182">
        <v>600</v>
      </c>
      <c r="AJ182">
        <v>1</v>
      </c>
      <c r="AK182" s="1">
        <v>44189</v>
      </c>
      <c r="AL182">
        <v>600</v>
      </c>
      <c r="AM182">
        <v>1</v>
      </c>
      <c r="AN182" s="1">
        <v>44189</v>
      </c>
      <c r="AO182">
        <v>600</v>
      </c>
      <c r="AP182">
        <v>1</v>
      </c>
      <c r="AQ182" s="1">
        <v>44189</v>
      </c>
      <c r="AR182">
        <v>600</v>
      </c>
    </row>
    <row r="183" spans="1:44" x14ac:dyDescent="0.3">
      <c r="A183" t="s">
        <v>411</v>
      </c>
      <c r="B183" t="s">
        <v>412</v>
      </c>
      <c r="C183">
        <v>60</v>
      </c>
      <c r="D183" s="1">
        <v>44179</v>
      </c>
      <c r="E183">
        <v>2020</v>
      </c>
      <c r="F183">
        <v>12</v>
      </c>
      <c r="G183">
        <v>112.5</v>
      </c>
      <c r="H183">
        <v>213.8</v>
      </c>
      <c r="I183" s="1">
        <v>44182</v>
      </c>
      <c r="J183">
        <v>108.4</v>
      </c>
      <c r="K183" s="1">
        <v>44179</v>
      </c>
      <c r="O183">
        <v>1</v>
      </c>
      <c r="P183" s="1">
        <v>44179</v>
      </c>
      <c r="Q183">
        <v>135</v>
      </c>
      <c r="R183">
        <v>1</v>
      </c>
      <c r="S183" s="1">
        <v>44179</v>
      </c>
      <c r="T183">
        <v>135</v>
      </c>
      <c r="U183">
        <v>1</v>
      </c>
      <c r="V183" s="1">
        <v>44179</v>
      </c>
      <c r="W183">
        <v>135</v>
      </c>
      <c r="X183">
        <v>1</v>
      </c>
      <c r="Y183" s="1">
        <v>44179</v>
      </c>
      <c r="Z183">
        <v>135</v>
      </c>
      <c r="AA183">
        <v>1</v>
      </c>
      <c r="AB183" s="1">
        <v>44179</v>
      </c>
      <c r="AC183">
        <v>135</v>
      </c>
      <c r="AD183">
        <v>1</v>
      </c>
      <c r="AE183" s="1">
        <v>44179</v>
      </c>
      <c r="AF183">
        <v>135</v>
      </c>
      <c r="AG183">
        <v>1</v>
      </c>
      <c r="AH183" s="1">
        <v>44179</v>
      </c>
      <c r="AI183">
        <v>135</v>
      </c>
      <c r="AJ183">
        <v>1</v>
      </c>
      <c r="AK183" s="1">
        <v>44179</v>
      </c>
      <c r="AL183">
        <v>135</v>
      </c>
      <c r="AM183">
        <v>1</v>
      </c>
      <c r="AN183" s="1">
        <v>44179</v>
      </c>
      <c r="AO183">
        <v>135</v>
      </c>
      <c r="AP183">
        <v>1</v>
      </c>
      <c r="AQ183" s="1">
        <v>44179</v>
      </c>
      <c r="AR183">
        <v>135</v>
      </c>
    </row>
    <row r="184" spans="1:44" x14ac:dyDescent="0.3">
      <c r="A184" t="s">
        <v>413</v>
      </c>
      <c r="B184" t="s">
        <v>414</v>
      </c>
      <c r="C184">
        <v>1500</v>
      </c>
      <c r="D184" s="1">
        <v>44155</v>
      </c>
      <c r="E184">
        <v>2020</v>
      </c>
      <c r="F184">
        <v>11</v>
      </c>
      <c r="G184">
        <v>1710</v>
      </c>
      <c r="H184">
        <v>4350</v>
      </c>
      <c r="I184" s="1">
        <v>44420</v>
      </c>
      <c r="J184">
        <v>861</v>
      </c>
      <c r="K184" s="1">
        <v>45068</v>
      </c>
      <c r="O184">
        <v>1</v>
      </c>
      <c r="P184" s="1">
        <v>44155</v>
      </c>
      <c r="Q184">
        <v>1850</v>
      </c>
      <c r="R184">
        <v>1</v>
      </c>
      <c r="S184" s="1">
        <v>44155</v>
      </c>
      <c r="T184">
        <v>1850</v>
      </c>
      <c r="U184">
        <v>4</v>
      </c>
      <c r="V184" s="1">
        <v>44158</v>
      </c>
      <c r="W184">
        <v>2183.4499999999998</v>
      </c>
      <c r="X184">
        <v>4</v>
      </c>
      <c r="Y184" s="1">
        <v>44158</v>
      </c>
      <c r="Z184">
        <v>2183.4499999999998</v>
      </c>
      <c r="AA184">
        <v>18</v>
      </c>
      <c r="AB184" s="1">
        <v>44172</v>
      </c>
      <c r="AC184">
        <v>2438.85</v>
      </c>
      <c r="AD184">
        <v>18</v>
      </c>
      <c r="AE184" s="1">
        <v>44172</v>
      </c>
      <c r="AF184">
        <v>2438.85</v>
      </c>
      <c r="AG184">
        <v>105</v>
      </c>
      <c r="AH184" s="1">
        <v>44259</v>
      </c>
      <c r="AI184">
        <v>2693</v>
      </c>
      <c r="AJ184">
        <v>117</v>
      </c>
      <c r="AK184" s="1">
        <v>44271</v>
      </c>
      <c r="AL184">
        <v>2783.85</v>
      </c>
      <c r="AM184">
        <v>152</v>
      </c>
      <c r="AN184" s="1">
        <v>44306</v>
      </c>
      <c r="AO184">
        <v>2873</v>
      </c>
      <c r="AP184">
        <v>180</v>
      </c>
      <c r="AQ184" s="1">
        <v>44334</v>
      </c>
      <c r="AR184">
        <v>3136.45</v>
      </c>
    </row>
    <row r="185" spans="1:44" x14ac:dyDescent="0.3">
      <c r="A185" t="s">
        <v>415</v>
      </c>
      <c r="B185" t="s">
        <v>416</v>
      </c>
      <c r="C185">
        <v>33</v>
      </c>
      <c r="D185" s="1">
        <v>44137</v>
      </c>
      <c r="E185">
        <v>2020</v>
      </c>
      <c r="F185">
        <v>11</v>
      </c>
      <c r="G185">
        <v>31.1</v>
      </c>
      <c r="H185">
        <v>116.5</v>
      </c>
      <c r="I185" s="1">
        <v>45303</v>
      </c>
      <c r="J185">
        <v>30.05</v>
      </c>
      <c r="K185" s="1">
        <v>44137</v>
      </c>
      <c r="O185">
        <v>22</v>
      </c>
      <c r="P185" s="1">
        <v>44158</v>
      </c>
      <c r="Q185">
        <v>38</v>
      </c>
      <c r="R185">
        <v>46</v>
      </c>
      <c r="S185" s="1">
        <v>44182</v>
      </c>
      <c r="T185">
        <v>39.6</v>
      </c>
      <c r="U185">
        <v>93</v>
      </c>
      <c r="V185" s="1">
        <v>44229</v>
      </c>
      <c r="W185">
        <v>43.35</v>
      </c>
      <c r="X185">
        <v>99</v>
      </c>
      <c r="Y185" s="1">
        <v>44235</v>
      </c>
      <c r="Z185">
        <v>47.5</v>
      </c>
      <c r="AA185">
        <v>109</v>
      </c>
      <c r="AB185" s="1">
        <v>44245</v>
      </c>
      <c r="AC185">
        <v>51.6</v>
      </c>
      <c r="AD185">
        <v>123</v>
      </c>
      <c r="AE185" s="1">
        <v>44259</v>
      </c>
      <c r="AF185">
        <v>59.6</v>
      </c>
      <c r="AG185">
        <v>123</v>
      </c>
      <c r="AH185" s="1">
        <v>44259</v>
      </c>
      <c r="AI185">
        <v>59.6</v>
      </c>
      <c r="AJ185">
        <v>123</v>
      </c>
      <c r="AK185" s="1">
        <v>44259</v>
      </c>
      <c r="AL185">
        <v>59.6</v>
      </c>
      <c r="AM185">
        <v>124</v>
      </c>
      <c r="AN185" s="1">
        <v>44260</v>
      </c>
      <c r="AO185">
        <v>68.25</v>
      </c>
      <c r="AP185">
        <v>124</v>
      </c>
      <c r="AQ185" s="1">
        <v>44260</v>
      </c>
      <c r="AR185">
        <v>68.25</v>
      </c>
    </row>
    <row r="186" spans="1:44" x14ac:dyDescent="0.3">
      <c r="A186" t="s">
        <v>417</v>
      </c>
      <c r="B186" t="s">
        <v>418</v>
      </c>
      <c r="C186">
        <v>554</v>
      </c>
      <c r="D186" s="1">
        <v>44116</v>
      </c>
      <c r="E186">
        <v>2020</v>
      </c>
      <c r="F186">
        <v>10</v>
      </c>
      <c r="G186">
        <v>500</v>
      </c>
      <c r="H186">
        <v>1341</v>
      </c>
      <c r="I186" s="1">
        <v>45553</v>
      </c>
      <c r="J186">
        <v>471.1</v>
      </c>
      <c r="K186" s="1">
        <v>44116</v>
      </c>
      <c r="O186">
        <v>143</v>
      </c>
      <c r="P186" s="1">
        <v>44258</v>
      </c>
      <c r="Q186">
        <v>610</v>
      </c>
      <c r="R186">
        <v>204</v>
      </c>
      <c r="S186" s="1">
        <v>44319</v>
      </c>
      <c r="T186">
        <v>678.8</v>
      </c>
      <c r="U186">
        <v>218</v>
      </c>
      <c r="V186" s="1">
        <v>44333</v>
      </c>
      <c r="W186">
        <v>749</v>
      </c>
      <c r="X186">
        <v>219</v>
      </c>
      <c r="Y186" s="1">
        <v>44334</v>
      </c>
      <c r="Z186">
        <v>777</v>
      </c>
      <c r="AA186">
        <v>242</v>
      </c>
      <c r="AB186" s="1">
        <v>44357</v>
      </c>
      <c r="AC186">
        <v>836.2</v>
      </c>
      <c r="AD186">
        <v>256</v>
      </c>
      <c r="AE186" s="1">
        <v>44371</v>
      </c>
      <c r="AF186">
        <v>919.45</v>
      </c>
      <c r="AG186">
        <v>285</v>
      </c>
      <c r="AH186" s="1">
        <v>44400</v>
      </c>
      <c r="AI186">
        <v>948.85</v>
      </c>
      <c r="AJ186">
        <v>291</v>
      </c>
      <c r="AK186" s="1">
        <v>44406</v>
      </c>
      <c r="AL186">
        <v>999.95</v>
      </c>
      <c r="AM186">
        <v>292</v>
      </c>
      <c r="AN186" s="1">
        <v>44407</v>
      </c>
      <c r="AO186">
        <v>1054.0999999999999</v>
      </c>
      <c r="AP186">
        <v>311</v>
      </c>
      <c r="AQ186" s="1">
        <v>44426</v>
      </c>
      <c r="AR186">
        <v>1147</v>
      </c>
    </row>
    <row r="187" spans="1:44" x14ac:dyDescent="0.3">
      <c r="A187" t="s">
        <v>419</v>
      </c>
      <c r="B187" t="s">
        <v>420</v>
      </c>
      <c r="C187">
        <v>145</v>
      </c>
      <c r="D187" s="1">
        <v>44116</v>
      </c>
      <c r="E187">
        <v>2020</v>
      </c>
      <c r="F187">
        <v>10</v>
      </c>
      <c r="G187">
        <v>214.9</v>
      </c>
      <c r="H187">
        <v>5860</v>
      </c>
      <c r="I187" s="1">
        <v>45478</v>
      </c>
      <c r="J187">
        <v>164</v>
      </c>
      <c r="K187" s="1">
        <v>44117</v>
      </c>
      <c r="O187">
        <v>1</v>
      </c>
      <c r="P187" s="1">
        <v>44116</v>
      </c>
      <c r="Q187">
        <v>216.95</v>
      </c>
      <c r="R187">
        <v>1</v>
      </c>
      <c r="S187" s="1">
        <v>44116</v>
      </c>
      <c r="T187">
        <v>216.95</v>
      </c>
      <c r="U187">
        <v>1</v>
      </c>
      <c r="V187" s="1">
        <v>44116</v>
      </c>
      <c r="W187">
        <v>216.95</v>
      </c>
      <c r="X187">
        <v>1</v>
      </c>
      <c r="Y187" s="1">
        <v>44116</v>
      </c>
      <c r="Z187">
        <v>216.95</v>
      </c>
      <c r="AA187">
        <v>66</v>
      </c>
      <c r="AB187" s="1">
        <v>44181</v>
      </c>
      <c r="AC187">
        <v>227.9</v>
      </c>
      <c r="AD187">
        <v>82</v>
      </c>
      <c r="AE187" s="1">
        <v>44197</v>
      </c>
      <c r="AF187">
        <v>234.85</v>
      </c>
      <c r="AG187">
        <v>239</v>
      </c>
      <c r="AH187" s="1">
        <v>44354</v>
      </c>
      <c r="AI187">
        <v>274.55</v>
      </c>
      <c r="AJ187">
        <v>239</v>
      </c>
      <c r="AK187" s="1">
        <v>44354</v>
      </c>
      <c r="AL187">
        <v>274.55</v>
      </c>
      <c r="AM187">
        <v>240</v>
      </c>
      <c r="AN187" s="1">
        <v>44355</v>
      </c>
      <c r="AO187">
        <v>287.75</v>
      </c>
      <c r="AP187">
        <v>242</v>
      </c>
      <c r="AQ187" s="1">
        <v>44357</v>
      </c>
      <c r="AR187">
        <v>296</v>
      </c>
    </row>
    <row r="188" spans="1:44" x14ac:dyDescent="0.3">
      <c r="A188" t="s">
        <v>421</v>
      </c>
      <c r="B188" t="s">
        <v>422</v>
      </c>
      <c r="C188">
        <v>306</v>
      </c>
      <c r="D188" s="1">
        <v>44109</v>
      </c>
      <c r="E188">
        <v>2020</v>
      </c>
      <c r="F188">
        <v>10</v>
      </c>
      <c r="G188">
        <v>275</v>
      </c>
      <c r="H188">
        <v>1689</v>
      </c>
      <c r="I188" s="1">
        <v>44482</v>
      </c>
      <c r="J188">
        <v>222.2</v>
      </c>
      <c r="K188" s="1">
        <v>44125</v>
      </c>
      <c r="O188">
        <v>26</v>
      </c>
      <c r="P188" s="1">
        <v>44134</v>
      </c>
      <c r="Q188">
        <v>379</v>
      </c>
      <c r="R188">
        <v>26</v>
      </c>
      <c r="S188" s="1">
        <v>44134</v>
      </c>
      <c r="T188">
        <v>379</v>
      </c>
      <c r="U188">
        <v>64</v>
      </c>
      <c r="V188" s="1">
        <v>44172</v>
      </c>
      <c r="W188">
        <v>408</v>
      </c>
      <c r="X188">
        <v>212</v>
      </c>
      <c r="Y188" s="1">
        <v>44320</v>
      </c>
      <c r="Z188">
        <v>457.1</v>
      </c>
      <c r="AA188">
        <v>213</v>
      </c>
      <c r="AB188" s="1">
        <v>44321</v>
      </c>
      <c r="AC188">
        <v>460</v>
      </c>
      <c r="AD188">
        <v>214</v>
      </c>
      <c r="AE188" s="1">
        <v>44322</v>
      </c>
      <c r="AF188">
        <v>512.20000000000005</v>
      </c>
      <c r="AG188">
        <v>215</v>
      </c>
      <c r="AH188" s="1">
        <v>44323</v>
      </c>
      <c r="AI188">
        <v>563.4</v>
      </c>
      <c r="AJ188">
        <v>215</v>
      </c>
      <c r="AK188" s="1">
        <v>44323</v>
      </c>
      <c r="AL188">
        <v>563.4</v>
      </c>
      <c r="AM188">
        <v>218</v>
      </c>
      <c r="AN188" s="1">
        <v>44326</v>
      </c>
      <c r="AO188">
        <v>616.70000000000005</v>
      </c>
      <c r="AP188">
        <v>218</v>
      </c>
      <c r="AQ188" s="1">
        <v>44326</v>
      </c>
      <c r="AR188">
        <v>616.70000000000005</v>
      </c>
    </row>
    <row r="189" spans="1:44" x14ac:dyDescent="0.3">
      <c r="A189" t="s">
        <v>423</v>
      </c>
      <c r="B189" t="s">
        <v>424</v>
      </c>
      <c r="C189">
        <v>340</v>
      </c>
      <c r="D189" s="1">
        <v>44105</v>
      </c>
      <c r="E189">
        <v>2020</v>
      </c>
      <c r="F189">
        <v>10</v>
      </c>
      <c r="G189">
        <v>731</v>
      </c>
      <c r="H189">
        <v>731.25</v>
      </c>
      <c r="I189" s="1">
        <v>44105</v>
      </c>
      <c r="J189">
        <v>221</v>
      </c>
      <c r="K189" s="1">
        <v>45013</v>
      </c>
      <c r="O189">
        <v>1</v>
      </c>
      <c r="P189" s="1">
        <v>44105</v>
      </c>
      <c r="Q189">
        <v>731.25</v>
      </c>
      <c r="R189">
        <v>1</v>
      </c>
      <c r="S189" s="1">
        <v>44105</v>
      </c>
      <c r="T189">
        <v>731.25</v>
      </c>
      <c r="U189">
        <v>1</v>
      </c>
      <c r="V189" s="1">
        <v>44105</v>
      </c>
      <c r="W189">
        <v>731.25</v>
      </c>
      <c r="X189">
        <v>1</v>
      </c>
      <c r="Y189" s="1">
        <v>44105</v>
      </c>
      <c r="Z189">
        <v>731.25</v>
      </c>
      <c r="AA189">
        <v>1</v>
      </c>
      <c r="AB189" s="1">
        <v>44105</v>
      </c>
      <c r="AC189">
        <v>731.25</v>
      </c>
      <c r="AD189">
        <v>1</v>
      </c>
      <c r="AE189" s="1">
        <v>44105</v>
      </c>
      <c r="AF189">
        <v>731.25</v>
      </c>
      <c r="AG189">
        <v>1</v>
      </c>
      <c r="AH189" s="1">
        <v>44105</v>
      </c>
      <c r="AI189">
        <v>731.25</v>
      </c>
      <c r="AJ189">
        <v>1</v>
      </c>
      <c r="AK189" s="1">
        <v>44105</v>
      </c>
      <c r="AL189">
        <v>731.25</v>
      </c>
      <c r="AM189">
        <v>1</v>
      </c>
      <c r="AN189" s="1">
        <v>44105</v>
      </c>
      <c r="AO189">
        <v>731.25</v>
      </c>
      <c r="AP189">
        <v>1</v>
      </c>
      <c r="AQ189" s="1">
        <v>44105</v>
      </c>
      <c r="AR189">
        <v>731.25</v>
      </c>
    </row>
    <row r="190" spans="1:44" x14ac:dyDescent="0.3">
      <c r="A190" t="s">
        <v>425</v>
      </c>
      <c r="B190" t="s">
        <v>426</v>
      </c>
      <c r="C190">
        <v>1240</v>
      </c>
      <c r="D190" s="1">
        <v>44323</v>
      </c>
      <c r="E190">
        <v>2021</v>
      </c>
      <c r="F190">
        <v>5</v>
      </c>
      <c r="G190">
        <v>2219.5</v>
      </c>
      <c r="H190">
        <v>4910</v>
      </c>
      <c r="I190" s="1">
        <v>45504</v>
      </c>
      <c r="J190">
        <v>1260</v>
      </c>
      <c r="K190" s="1">
        <v>44139</v>
      </c>
      <c r="O190">
        <v>-213</v>
      </c>
      <c r="P190" s="1">
        <v>44109</v>
      </c>
      <c r="Q190">
        <v>1489</v>
      </c>
      <c r="R190">
        <v>-213</v>
      </c>
      <c r="S190" s="1">
        <v>44109</v>
      </c>
      <c r="T190">
        <v>1489</v>
      </c>
      <c r="U190">
        <v>-139</v>
      </c>
      <c r="V190" s="1">
        <v>44183</v>
      </c>
      <c r="W190">
        <v>1624</v>
      </c>
      <c r="X190">
        <v>-136</v>
      </c>
      <c r="Y190" s="1">
        <v>44186</v>
      </c>
      <c r="Z190">
        <v>1752</v>
      </c>
      <c r="AA190">
        <v>-128</v>
      </c>
      <c r="AB190" s="1">
        <v>44194</v>
      </c>
      <c r="AC190">
        <v>1865</v>
      </c>
      <c r="AD190">
        <v>-84</v>
      </c>
      <c r="AE190" s="1">
        <v>44238</v>
      </c>
      <c r="AF190">
        <v>2008</v>
      </c>
      <c r="AG190">
        <v>-17</v>
      </c>
      <c r="AH190" s="1">
        <v>44305</v>
      </c>
      <c r="AI190">
        <v>2158</v>
      </c>
      <c r="AJ190">
        <v>-9</v>
      </c>
      <c r="AK190" s="1">
        <v>44313</v>
      </c>
      <c r="AL190">
        <v>2335</v>
      </c>
      <c r="AM190">
        <v>-8</v>
      </c>
      <c r="AN190" s="1">
        <v>44314</v>
      </c>
      <c r="AO190">
        <v>2412.9499999999998</v>
      </c>
      <c r="AP190">
        <v>15</v>
      </c>
      <c r="AQ190" s="1">
        <v>44337</v>
      </c>
      <c r="AR190">
        <v>2525.25</v>
      </c>
    </row>
    <row r="191" spans="1:44" x14ac:dyDescent="0.3">
      <c r="A191" t="s">
        <v>427</v>
      </c>
      <c r="B191" t="s">
        <v>428</v>
      </c>
      <c r="C191">
        <v>350</v>
      </c>
      <c r="D191" s="1">
        <v>44095</v>
      </c>
      <c r="E191">
        <v>2020</v>
      </c>
      <c r="F191">
        <v>9</v>
      </c>
      <c r="G191">
        <v>717</v>
      </c>
      <c r="H191">
        <v>2389</v>
      </c>
      <c r="I191" s="1">
        <v>44481</v>
      </c>
      <c r="J191">
        <v>625</v>
      </c>
      <c r="K191" s="1">
        <v>44095</v>
      </c>
      <c r="O191">
        <v>1</v>
      </c>
      <c r="P191" s="1">
        <v>44095</v>
      </c>
      <c r="Q191">
        <v>735</v>
      </c>
      <c r="R191">
        <v>1</v>
      </c>
      <c r="S191" s="1">
        <v>44095</v>
      </c>
      <c r="T191">
        <v>735</v>
      </c>
      <c r="U191">
        <v>1</v>
      </c>
      <c r="V191" s="1">
        <v>44095</v>
      </c>
      <c r="W191">
        <v>735</v>
      </c>
      <c r="X191">
        <v>1</v>
      </c>
      <c r="Y191" s="1">
        <v>44095</v>
      </c>
      <c r="Z191">
        <v>735</v>
      </c>
      <c r="AA191">
        <v>1</v>
      </c>
      <c r="AB191" s="1">
        <v>44095</v>
      </c>
      <c r="AC191">
        <v>735</v>
      </c>
      <c r="AD191">
        <v>1</v>
      </c>
      <c r="AE191" s="1">
        <v>44095</v>
      </c>
      <c r="AF191">
        <v>735</v>
      </c>
      <c r="AG191">
        <v>1</v>
      </c>
      <c r="AH191" s="1">
        <v>44095</v>
      </c>
      <c r="AI191">
        <v>735</v>
      </c>
      <c r="AJ191">
        <v>1</v>
      </c>
      <c r="AK191" s="1">
        <v>44095</v>
      </c>
      <c r="AL191">
        <v>735</v>
      </c>
      <c r="AM191">
        <v>1</v>
      </c>
      <c r="AN191" s="1">
        <v>44095</v>
      </c>
      <c r="AO191">
        <v>735</v>
      </c>
      <c r="AP191">
        <v>1</v>
      </c>
      <c r="AQ191" s="1">
        <v>44095</v>
      </c>
      <c r="AR191">
        <v>735</v>
      </c>
    </row>
    <row r="192" spans="1:44" x14ac:dyDescent="0.3">
      <c r="A192" t="s">
        <v>429</v>
      </c>
      <c r="B192" t="s">
        <v>430</v>
      </c>
      <c r="C192">
        <v>166</v>
      </c>
      <c r="D192" s="1">
        <v>44091</v>
      </c>
      <c r="E192">
        <v>2020</v>
      </c>
      <c r="F192">
        <v>9</v>
      </c>
      <c r="G192">
        <v>350</v>
      </c>
      <c r="H192">
        <v>1580</v>
      </c>
      <c r="I192" s="1">
        <v>44393</v>
      </c>
      <c r="J192">
        <v>307</v>
      </c>
      <c r="K192" s="1">
        <v>44131</v>
      </c>
      <c r="O192">
        <v>1</v>
      </c>
      <c r="P192" s="1">
        <v>44091</v>
      </c>
      <c r="Q192">
        <v>394.95</v>
      </c>
      <c r="R192">
        <v>1</v>
      </c>
      <c r="S192" s="1">
        <v>44091</v>
      </c>
      <c r="T192">
        <v>394.95</v>
      </c>
      <c r="U192">
        <v>1</v>
      </c>
      <c r="V192" s="1">
        <v>44091</v>
      </c>
      <c r="W192">
        <v>394.95</v>
      </c>
      <c r="X192">
        <v>1</v>
      </c>
      <c r="Y192" s="1">
        <v>44091</v>
      </c>
      <c r="Z192">
        <v>394.95</v>
      </c>
      <c r="AA192">
        <v>1</v>
      </c>
      <c r="AB192" s="1">
        <v>44091</v>
      </c>
      <c r="AC192">
        <v>394.95</v>
      </c>
      <c r="AD192">
        <v>1</v>
      </c>
      <c r="AE192" s="1">
        <v>44091</v>
      </c>
      <c r="AF192">
        <v>394.95</v>
      </c>
      <c r="AG192">
        <v>1</v>
      </c>
      <c r="AH192" s="1">
        <v>44091</v>
      </c>
      <c r="AI192">
        <v>394.95</v>
      </c>
      <c r="AJ192">
        <v>1</v>
      </c>
      <c r="AK192" s="1">
        <v>44091</v>
      </c>
      <c r="AL192">
        <v>394.95</v>
      </c>
      <c r="AM192">
        <v>1</v>
      </c>
      <c r="AN192" s="1">
        <v>44091</v>
      </c>
      <c r="AO192">
        <v>394.95</v>
      </c>
      <c r="AP192">
        <v>1</v>
      </c>
      <c r="AQ192" s="1">
        <v>44091</v>
      </c>
      <c r="AR192">
        <v>394.95</v>
      </c>
    </row>
    <row r="193" spans="1:44" x14ac:dyDescent="0.3">
      <c r="A193" t="s">
        <v>431</v>
      </c>
      <c r="B193" t="s">
        <v>432</v>
      </c>
      <c r="C193">
        <v>425</v>
      </c>
      <c r="D193" s="1">
        <v>44035</v>
      </c>
      <c r="E193">
        <v>2020</v>
      </c>
      <c r="F193">
        <v>7</v>
      </c>
      <c r="G193">
        <v>669.25</v>
      </c>
      <c r="H193">
        <v>1619</v>
      </c>
      <c r="I193" s="1">
        <v>44481</v>
      </c>
      <c r="J193">
        <v>536.35</v>
      </c>
      <c r="K193" s="1">
        <v>45001</v>
      </c>
      <c r="O193">
        <v>1</v>
      </c>
      <c r="P193" s="1">
        <v>44035</v>
      </c>
      <c r="Q193">
        <v>803.1</v>
      </c>
      <c r="R193">
        <v>1</v>
      </c>
      <c r="S193" s="1">
        <v>44035</v>
      </c>
      <c r="T193">
        <v>803.1</v>
      </c>
      <c r="U193">
        <v>1</v>
      </c>
      <c r="V193" s="1">
        <v>44035</v>
      </c>
      <c r="W193">
        <v>803.1</v>
      </c>
      <c r="X193">
        <v>1</v>
      </c>
      <c r="Y193" s="1">
        <v>44035</v>
      </c>
      <c r="Z193">
        <v>803.1</v>
      </c>
      <c r="AA193">
        <v>1</v>
      </c>
      <c r="AB193" s="1">
        <v>44035</v>
      </c>
      <c r="AC193">
        <v>803.1</v>
      </c>
      <c r="AD193">
        <v>1</v>
      </c>
      <c r="AE193" s="1">
        <v>44035</v>
      </c>
      <c r="AF193">
        <v>803.1</v>
      </c>
      <c r="AG193">
        <v>1</v>
      </c>
      <c r="AH193" s="1">
        <v>44035</v>
      </c>
      <c r="AI193">
        <v>803.1</v>
      </c>
      <c r="AJ193">
        <v>1</v>
      </c>
      <c r="AK193" s="1">
        <v>44035</v>
      </c>
      <c r="AL193">
        <v>803.1</v>
      </c>
      <c r="AM193">
        <v>20</v>
      </c>
      <c r="AN193" s="1">
        <v>44054</v>
      </c>
      <c r="AO193">
        <v>818.8</v>
      </c>
      <c r="AP193">
        <v>43</v>
      </c>
      <c r="AQ193" s="1">
        <v>44077</v>
      </c>
      <c r="AR193">
        <v>859</v>
      </c>
    </row>
    <row r="194" spans="1:44" x14ac:dyDescent="0.3">
      <c r="A194" t="s">
        <v>433</v>
      </c>
      <c r="B194" t="s">
        <v>434</v>
      </c>
      <c r="C194">
        <v>755</v>
      </c>
      <c r="D194" s="1">
        <v>43906</v>
      </c>
      <c r="E194">
        <v>2020</v>
      </c>
      <c r="F194">
        <v>3</v>
      </c>
      <c r="G194">
        <v>661</v>
      </c>
      <c r="H194">
        <v>1165</v>
      </c>
      <c r="I194" s="1">
        <v>44440</v>
      </c>
      <c r="J194">
        <v>495</v>
      </c>
      <c r="K194" s="1">
        <v>43973</v>
      </c>
      <c r="O194">
        <v>157</v>
      </c>
      <c r="P194" s="1">
        <v>44062</v>
      </c>
      <c r="Q194">
        <v>836.7</v>
      </c>
      <c r="R194">
        <v>214</v>
      </c>
      <c r="S194" s="1">
        <v>44119</v>
      </c>
      <c r="T194">
        <v>918.75</v>
      </c>
      <c r="U194">
        <v>298</v>
      </c>
      <c r="V194" s="1">
        <v>44203</v>
      </c>
      <c r="W194">
        <v>1002.05</v>
      </c>
      <c r="X194">
        <v>340</v>
      </c>
      <c r="Y194" s="1">
        <v>44245</v>
      </c>
      <c r="Z194">
        <v>1078.3</v>
      </c>
      <c r="AA194">
        <v>347</v>
      </c>
      <c r="AB194" s="1">
        <v>44252</v>
      </c>
      <c r="AC194">
        <v>1137.45</v>
      </c>
    </row>
  </sheetData>
  <autoFilter ref="A1:AS194"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Arsalan Dawalatabad</cp:lastModifiedBy>
  <dcterms:created xsi:type="dcterms:W3CDTF">2024-09-28T09:54:44Z</dcterms:created>
  <dcterms:modified xsi:type="dcterms:W3CDTF">2024-09-28T10:31:38Z</dcterms:modified>
</cp:coreProperties>
</file>